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s" sheetId="2" state="visible" r:id="rId2"/>
    <sheet xmlns:r="http://schemas.openxmlformats.org/officeDocument/2006/relationships" name="AI Factors" sheetId="3" state="visible" r:id="rId3"/>
    <sheet xmlns:r="http://schemas.openxmlformats.org/officeDocument/2006/relationships" name="WB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Missing-Features Checklist" sheetId="6" state="visible" r:id="rId6"/>
    <sheet xmlns:r="http://schemas.openxmlformats.org/officeDocument/2006/relationships" name="Self-Review" sheetId="7" state="visible" r:id="rId7"/>
  </sheets>
  <definedNames>
    <definedName name="_xlnm._FilterDatabase" localSheetId="3" hidden="1">'WBS'!$A$1:$R$108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2">
    <font>
      <name val="Calibri"/>
      <family val="2"/>
      <color theme="1"/>
      <sz val="11"/>
      <scheme val="minor"/>
    </font>
    <font>
      <b val="1"/>
      <color rgb="001F3864"/>
      <sz val="16"/>
    </font>
    <font>
      <color rgb="00808080"/>
      <sz val="10"/>
    </font>
    <font>
      <color rgb="00000000"/>
      <sz val="10"/>
    </font>
    <font>
      <b val="1"/>
      <color rgb="001F3864"/>
      <sz val="12"/>
    </font>
    <font>
      <color rgb="00C00000"/>
      <sz val="10"/>
    </font>
    <font>
      <b val="1"/>
      <color rgb="00C00000"/>
      <sz val="12"/>
    </font>
    <font>
      <b val="1"/>
      <color rgb="001F3864"/>
      <sz val="13"/>
    </font>
    <font>
      <b val="1"/>
    </font>
    <font>
      <i val="1"/>
      <color rgb="00808080"/>
      <sz val="9"/>
    </font>
    <font>
      <b val="1"/>
      <color rgb="00FFFFFF"/>
      <sz val="11"/>
    </font>
    <font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2" borderId="0" pivotButton="0" quotePrefix="0" xfId="0"/>
    <xf numFmtId="3" fontId="0" fillId="2" borderId="0" pivotButton="0" quotePrefix="0" xfId="0"/>
    <xf numFmtId="164" fontId="0" fillId="0" borderId="0" pivotButton="0" quotePrefix="0" xfId="0"/>
    <xf numFmtId="9" fontId="0" fillId="2" borderId="0" pivotButton="0" quotePrefix="0" xfId="0"/>
    <xf numFmtId="9" fontId="0" fillId="0" borderId="0" pivotButton="0" quotePrefix="0" xfId="0"/>
    <xf numFmtId="2" fontId="0" fillId="2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/>
    </xf>
    <xf numFmtId="0" fontId="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5" borderId="1" pivotButton="0" quotePrefix="0" xfId="0"/>
    <xf numFmtId="0" fontId="8" fillId="6" borderId="1" pivotButton="0" quotePrefix="0" xfId="0"/>
    <xf numFmtId="165" fontId="8" fillId="6" borderId="1" pivotButton="0" quotePrefix="0" xfId="0"/>
    <xf numFmtId="3" fontId="8" fillId="6" borderId="1" pivotButton="0" quotePrefix="0" xfId="0"/>
    <xf numFmtId="0" fontId="11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8" fillId="6" borderId="0" pivotButton="0" quotePrefix="0" xfId="0"/>
    <xf numFmtId="165" fontId="8" fillId="6" borderId="0" pivotButton="0" quotePrefix="0" xfId="0"/>
    <xf numFmtId="0" fontId="0" fillId="6" borderId="0" pivotButton="0" quotePrefix="0" xfId="0"/>
    <xf numFmtId="3" fontId="8" fillId="6" borderId="0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1">
      <c r="B1" s="1" t="inlineStr">
        <is>
          <t>Yedi + Tidal — MVP &amp; Phase 2 Work Breakdown Structure (WBS)</t>
        </is>
      </c>
    </row>
    <row r="2">
      <c r="B2" s="2" t="inlineStr">
        <is>
          <t>Internal - Sotatek presale - source-grounded (audit Jul 8) - formula-driven, recalcs from the Rates sheet.</t>
        </is>
      </c>
    </row>
    <row r="3">
      <c r="B3" s="3" t="inlineStr"/>
    </row>
    <row r="4">
      <c r="B4" s="3" t="inlineStr">
        <is>
          <t>STRUCTURE: Phase (MVP / Phase 2) -&gt; EPIC -&gt; Feature -&gt; Sub-Feature -&gt; Function. Each function = base CODING md per discipline (Backend/Mobile/Web).</t>
        </is>
      </c>
    </row>
    <row r="5">
      <c r="B5" s="3" t="inlineStr"/>
    </row>
    <row r="6">
      <c r="B6" s="4" t="inlineStr">
        <is>
          <t>MODEL (all formula-driven):</t>
        </is>
      </c>
    </row>
    <row r="7">
      <c r="B7" s="3" t="inlineStr">
        <is>
          <t>1. Base Coding = BE + Mobile + Web (raw, pre-AI).</t>
        </is>
      </c>
    </row>
    <row r="8">
      <c r="B8" s="3" t="inlineStr">
        <is>
          <t>2. AI Reduction % per Task Type ('AI Factors') -&gt; Adjusted Coding.</t>
        </is>
      </c>
    </row>
    <row r="9">
      <c r="B9" s="5" t="inlineStr">
        <is>
          <t>3. Delivery Efficiency factor (Rates!B21 = 0.70) applied = client-directed 30% compression on top of AI-assist.</t>
        </is>
      </c>
    </row>
    <row r="10">
      <c r="B10" s="3" t="inlineStr">
        <is>
          <t>4. Effort ratio 10/10/50/30: Total = Adjusted Coding / 50% x Efficiency. Spec=10%, PM=10%, Testing=30% derived from Total.</t>
        </is>
      </c>
    </row>
    <row r="11">
      <c r="B11" s="3" t="inlineStr">
        <is>
          <t>5. Cost = Coding x Dev-rate + Spec x BA + PM x PM + Testing x QC (day-rate = monthly / man-month days).</t>
        </is>
      </c>
    </row>
    <row r="12">
      <c r="B12" s="3" t="inlineStr">
        <is>
          <t>6. Contingency % added on Summary for grand total.</t>
        </is>
      </c>
    </row>
    <row r="13">
      <c r="B13" s="3" t="inlineStr"/>
    </row>
    <row r="14">
      <c r="B14" s="6" t="inlineStr">
        <is>
          <t>RISK NOTE on the 0.70 efficiency factor:</t>
        </is>
      </c>
    </row>
    <row r="15">
      <c r="B15" s="3" t="inlineStr">
        <is>
          <t>The 30% reduction is a business-directed compression requested to hit a 1.5-2 month MVP. It is ON TOP of AI-assisted reductions already baked into 'AI Factors'.</t>
        </is>
      </c>
    </row>
    <row r="16">
      <c r="B16" s="3" t="inlineStr">
        <is>
          <t>It assumes a senior, highly-parallel team and clean baseline. It increases schedule and quality risk on correctness-critical work (payments, compliance, payroll). The 12% contingency only partially offsets. Recommend a sensitivity view at factor = 0.85 before contracting.</t>
        </is>
      </c>
    </row>
    <row r="17">
      <c r="B17" s="3" t="inlineStr"/>
    </row>
    <row r="18">
      <c r="B18" s="3" t="inlineStr">
        <is>
          <t>TIMELINE TARGET: MVP ~1.5-2 months (3-4 two-week sprints) with a larger concurrent team. Phase 2 scoped separately (roadmap).</t>
        </is>
      </c>
    </row>
    <row r="19">
      <c r="B19" s="3" t="inlineStr"/>
    </row>
    <row r="20">
      <c r="B20" s="3" t="inlineStr">
        <is>
          <t>ASSUMPTIONS (locked 2026-07-08): man-month = 20 days; umbrella payroll; Yedi+Tidal joint launch (DBS in MVP); multi-headcount; single app-server (MVP); GBP; baseline = reuse client code.</t>
        </is>
      </c>
    </row>
    <row r="21">
      <c r="B21" s="3" t="inlineStr"/>
    </row>
    <row r="22">
      <c r="B22" s="2" t="inlineStr">
        <is>
          <t>SHEETS: Rates | AI Factors | WBS | Summary | Missing-Features Checklist | Self-Review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14" customWidth="1" min="4" max="4"/>
  </cols>
  <sheetData>
    <row r="1">
      <c r="A1" s="7" t="inlineStr">
        <is>
          <t>RATES &amp; GLOBAL INPUTS (edit yellow cells)</t>
        </is>
      </c>
    </row>
    <row r="3">
      <c r="A3" s="8" t="inlineStr">
        <is>
          <t>Man-month (working days)</t>
        </is>
      </c>
      <c r="B3" s="9" t="n">
        <v>20</v>
      </c>
    </row>
    <row r="5">
      <c r="A5" s="8" t="inlineStr">
        <is>
          <t>Role monthly rate</t>
        </is>
      </c>
      <c r="C5" s="8" t="inlineStr">
        <is>
          <t>Day-rate (=monthly/MM)</t>
        </is>
      </c>
    </row>
    <row r="6">
      <c r="A6" t="inlineStr">
        <is>
          <t>Developer (BE/Mobile/Web)</t>
        </is>
      </c>
      <c r="B6" s="10" t="n">
        <v>3000</v>
      </c>
      <c r="D6" s="11">
        <f>B6/$B$3</f>
        <v/>
      </c>
    </row>
    <row r="7">
      <c r="A7" t="inlineStr">
        <is>
          <t>QC</t>
        </is>
      </c>
      <c r="B7" s="10" t="n">
        <v>2800</v>
      </c>
      <c r="D7" s="11">
        <f>B7/$B$3</f>
        <v/>
      </c>
    </row>
    <row r="8">
      <c r="A8" t="inlineStr">
        <is>
          <t>Project Manager</t>
        </is>
      </c>
      <c r="B8" s="10" t="n">
        <v>3600</v>
      </c>
      <c r="D8" s="11">
        <f>B8/$B$3</f>
        <v/>
      </c>
    </row>
    <row r="9">
      <c r="A9" t="inlineStr">
        <is>
          <t>BA &amp; Designer</t>
        </is>
      </c>
      <c r="B9" s="10" t="n">
        <v>3000</v>
      </c>
      <c r="D9" s="11">
        <f>B9/$B$3</f>
        <v/>
      </c>
    </row>
    <row r="10">
      <c r="A10" t="inlineStr">
        <is>
          <t>DevOps</t>
        </is>
      </c>
      <c r="B10" s="10" t="n">
        <v>3400</v>
      </c>
      <c r="D10" s="11">
        <f>B10/$B$3</f>
        <v/>
      </c>
    </row>
    <row r="12">
      <c r="A12" s="8" t="inlineStr">
        <is>
          <t>Effort ratio</t>
        </is>
      </c>
    </row>
    <row r="13">
      <c r="A13" t="inlineStr">
        <is>
          <t>Spec %</t>
        </is>
      </c>
      <c r="B13" s="12" t="n">
        <v>0.1</v>
      </c>
    </row>
    <row r="14">
      <c r="A14" t="inlineStr">
        <is>
          <t>PM %</t>
        </is>
      </c>
      <c r="B14" s="12" t="n">
        <v>0.1</v>
      </c>
    </row>
    <row r="15">
      <c r="A15" t="inlineStr">
        <is>
          <t>Coding %</t>
        </is>
      </c>
      <c r="B15" s="12" t="n">
        <v>0.5</v>
      </c>
    </row>
    <row r="16">
      <c r="A16" t="inlineStr">
        <is>
          <t>Testing %</t>
        </is>
      </c>
      <c r="B16" s="12" t="n">
        <v>0.3</v>
      </c>
    </row>
    <row r="17">
      <c r="A17" t="inlineStr">
        <is>
          <t>Ratio check</t>
        </is>
      </c>
      <c r="B17" s="13">
        <f>B13+B14+B15+B16</f>
        <v/>
      </c>
    </row>
    <row r="19">
      <c r="A19" s="8" t="inlineStr">
        <is>
          <t>Contingency %</t>
        </is>
      </c>
      <c r="B19" s="12" t="n">
        <v>0.12</v>
      </c>
    </row>
    <row r="21">
      <c r="A21" s="8" t="inlineStr">
        <is>
          <t>Delivery Efficiency factor</t>
        </is>
      </c>
      <c r="B21" s="14" t="n">
        <v>0.7</v>
      </c>
    </row>
    <row r="22">
      <c r="A22" s="15" t="inlineStr">
        <is>
          <t xml:space="preserve">  (1.00 = no cut; 0.70 = -30% client-directed)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2" customWidth="1" min="3" max="3"/>
  </cols>
  <sheetData>
    <row r="1">
      <c r="A1" s="7" t="inlineStr">
        <is>
          <t>AI-Assisted Development - Effort Reduction by Task Type</t>
        </is>
      </c>
    </row>
    <row r="2">
      <c r="A2" s="16" t="inlineStr">
        <is>
          <t>Task Type</t>
        </is>
      </c>
      <c r="B2" s="16" t="inlineStr">
        <is>
          <t>AI Reduction %</t>
        </is>
      </c>
      <c r="C2" s="16" t="inlineStr">
        <is>
          <t>Rationale</t>
        </is>
      </c>
    </row>
    <row r="3">
      <c r="A3" s="17" t="inlineStr">
        <is>
          <t>CRUD/Config</t>
        </is>
      </c>
      <c r="B3" s="18" t="n">
        <v>0.45</v>
      </c>
      <c r="C3" s="19" t="inlineStr">
        <is>
          <t>Boilerplate CRUD/config/scaffolding - highest AI leverage.</t>
        </is>
      </c>
    </row>
    <row r="4">
      <c r="A4" s="17" t="inlineStr">
        <is>
          <t>UI Standard</t>
        </is>
      </c>
      <c r="B4" s="18" t="n">
        <v>0.4</v>
      </c>
      <c r="C4" s="19" t="inlineStr">
        <is>
          <t>Standard screens/forms/lists - strong AI leverage.</t>
        </is>
      </c>
    </row>
    <row r="5">
      <c r="A5" s="17" t="inlineStr">
        <is>
          <t>Data/Migration</t>
        </is>
      </c>
      <c r="B5" s="18" t="n">
        <v>0.35</v>
      </c>
      <c r="C5" s="19" t="inlineStr">
        <is>
          <t>Schema/migrations/model wiring - good AI leverage.</t>
        </is>
      </c>
    </row>
    <row r="6">
      <c r="A6" s="17" t="inlineStr">
        <is>
          <t>Infra/DevOps</t>
        </is>
      </c>
      <c r="B6" s="18" t="n">
        <v>0.3</v>
      </c>
      <c r="C6" s="19" t="inlineStr">
        <is>
          <t>CI/CD, queue, monitoring - moderate; environment-specific.</t>
        </is>
      </c>
    </row>
    <row r="7">
      <c r="A7" s="17" t="inlineStr">
        <is>
          <t>Business Logic</t>
        </is>
      </c>
      <c r="B7" s="18" t="n">
        <v>0.3</v>
      </c>
      <c r="C7" s="19" t="inlineStr">
        <is>
          <t>Domain rules/handlers - moderate; human design + validation.</t>
        </is>
      </c>
    </row>
    <row r="8">
      <c r="A8" s="17" t="inlineStr">
        <is>
          <t>Integration</t>
        </is>
      </c>
      <c r="B8" s="18" t="n">
        <v>0.25</v>
      </c>
      <c r="C8" s="19" t="inlineStr">
        <is>
          <t>3rd-party (umbrella/FCM/HMRC) - lower; external contracts + testing.</t>
        </is>
      </c>
    </row>
    <row r="9">
      <c r="A9" s="17" t="inlineStr">
        <is>
          <t>Complex/Critical</t>
        </is>
      </c>
      <c r="B9" s="18" t="n">
        <v>0.15</v>
      </c>
      <c r="C9" s="19" t="inlineStr">
        <is>
          <t>Payments, idempotency, compliance/matching/PAYE - lowest; correctness-critical.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22" customWidth="1" min="3" max="3"/>
    <col width="18" customWidth="1" min="4" max="4"/>
    <col width="40" customWidth="1" min="5" max="5"/>
    <col width="15" customWidth="1" min="6" max="6"/>
    <col width="7" customWidth="1" min="7" max="7"/>
    <col width="8" customWidth="1" min="8" max="8"/>
    <col width="7" customWidth="1" min="9" max="9"/>
    <col width="11" customWidth="1" min="10" max="10"/>
    <col width="9" customWidth="1" min="11" max="11"/>
    <col width="11" customWidth="1" min="12" max="12"/>
    <col width="10" customWidth="1" min="13" max="13"/>
    <col width="10" customWidth="1" min="14" max="14"/>
    <col width="8" customWidth="1" min="15" max="15"/>
    <col width="7" customWidth="1" min="16" max="16"/>
    <col width="9" customWidth="1" min="17" max="17"/>
    <col width="12" customWidth="1" min="18" max="18"/>
  </cols>
  <sheetData>
    <row r="1">
      <c r="A1" s="16" t="inlineStr">
        <is>
          <t>Phase</t>
        </is>
      </c>
      <c r="B1" s="16" t="inlineStr">
        <is>
          <t>EPIC</t>
        </is>
      </c>
      <c r="C1" s="16" t="inlineStr">
        <is>
          <t>Feature</t>
        </is>
      </c>
      <c r="D1" s="16" t="inlineStr">
        <is>
          <t>Sub-Feature</t>
        </is>
      </c>
      <c r="E1" s="16" t="inlineStr">
        <is>
          <t>Function</t>
        </is>
      </c>
      <c r="F1" s="16" t="inlineStr">
        <is>
          <t>Task Type</t>
        </is>
      </c>
      <c r="G1" s="16" t="inlineStr">
        <is>
          <t>BE</t>
        </is>
      </c>
      <c r="H1" s="16" t="inlineStr">
        <is>
          <t>Mobile</t>
        </is>
      </c>
      <c r="I1" s="16" t="inlineStr">
        <is>
          <t>Web</t>
        </is>
      </c>
      <c r="J1" s="16" t="inlineStr">
        <is>
          <t>Base Coding</t>
        </is>
      </c>
      <c r="K1" s="16" t="inlineStr">
        <is>
          <t>AI Red.%</t>
        </is>
      </c>
      <c r="L1" s="16" t="inlineStr">
        <is>
          <t>Adj Coding</t>
        </is>
      </c>
      <c r="M1" s="16" t="inlineStr">
        <is>
          <t>Total (md)</t>
        </is>
      </c>
      <c r="N1" s="16" t="inlineStr">
        <is>
          <t>Coding (md)</t>
        </is>
      </c>
      <c r="O1" s="16" t="inlineStr">
        <is>
          <t>Spec (md)</t>
        </is>
      </c>
      <c r="P1" s="16" t="inlineStr">
        <is>
          <t>PM (md)</t>
        </is>
      </c>
      <c r="Q1" s="16" t="inlineStr">
        <is>
          <t>Testing (md)</t>
        </is>
      </c>
      <c r="R1" s="16" t="inlineStr">
        <is>
          <t>Cost</t>
        </is>
      </c>
    </row>
    <row r="2">
      <c r="A2" s="20" t="inlineStr">
        <is>
          <t>MVP</t>
        </is>
      </c>
      <c r="B2" s="17" t="inlineStr">
        <is>
          <t>A. Platform Hardening &amp; Security</t>
        </is>
      </c>
      <c r="C2" s="17" t="inlineStr">
        <is>
          <t>Authentication &amp; Access</t>
        </is>
      </c>
      <c r="D2" s="17" t="inlineStr">
        <is>
          <t>Auth hardening</t>
        </is>
      </c>
      <c r="E2" s="19" t="inlineStr">
        <is>
          <t>Rate limiting (login/forgot-pw/signed form)</t>
        </is>
      </c>
      <c r="F2" s="17" t="inlineStr">
        <is>
          <t>Business Logic</t>
        </is>
      </c>
      <c r="G2" s="17" t="n">
        <v>2</v>
      </c>
      <c r="H2" s="17" t="n">
        <v>0</v>
      </c>
      <c r="I2" s="17" t="n">
        <v>0</v>
      </c>
      <c r="J2" s="21">
        <f>SUM(G2:I2)</f>
        <v/>
      </c>
      <c r="K2" s="18">
        <f>VLOOKUP(F2,'AI Factors'!$A$3:$B$9,2,FALSE)</f>
        <v/>
      </c>
      <c r="L2" s="21">
        <f>J2*(1-K2)</f>
        <v/>
      </c>
      <c r="M2" s="21">
        <f>IF(L2=0,0,L2/Rates!$B$15*Rates!$B$21)</f>
        <v/>
      </c>
      <c r="N2" s="21">
        <f>M2*Rates!$B$15</f>
        <v/>
      </c>
      <c r="O2" s="21">
        <f>M2*Rates!$B$13</f>
        <v/>
      </c>
      <c r="P2" s="21">
        <f>M2*Rates!$B$14</f>
        <v/>
      </c>
      <c r="Q2" s="21">
        <f>M2*Rates!$B$16</f>
        <v/>
      </c>
      <c r="R2" s="22">
        <f>N2*Rates!$D$6+O2*Rates!$D$9+P2*Rates!$D$8+Q2*Rates!$D$7</f>
        <v/>
      </c>
    </row>
    <row r="3">
      <c r="A3" s="20" t="inlineStr">
        <is>
          <t>MVP</t>
        </is>
      </c>
      <c r="B3" s="17" t="inlineStr">
        <is>
          <t>A. Platform Hardening &amp; Security</t>
        </is>
      </c>
      <c r="C3" s="17" t="inlineStr">
        <is>
          <t>Authentication &amp; Access</t>
        </is>
      </c>
      <c r="D3" s="17" t="inlineStr">
        <is>
          <t>Auth hardening</t>
        </is>
      </c>
      <c r="E3" s="19" t="inlineStr">
        <is>
          <t>Token revoke + rotation endpoint</t>
        </is>
      </c>
      <c r="F3" s="17" t="inlineStr">
        <is>
          <t>Business Logic</t>
        </is>
      </c>
      <c r="G3" s="17" t="n">
        <v>2</v>
      </c>
      <c r="H3" s="17" t="n">
        <v>1</v>
      </c>
      <c r="I3" s="17" t="n">
        <v>0</v>
      </c>
      <c r="J3" s="21">
        <f>SUM(G3:I3)</f>
        <v/>
      </c>
      <c r="K3" s="18">
        <f>VLOOKUP(F3,'AI Factors'!$A$3:$B$9,2,FALSE)</f>
        <v/>
      </c>
      <c r="L3" s="21">
        <f>J3*(1-K3)</f>
        <v/>
      </c>
      <c r="M3" s="21">
        <f>IF(L3=0,0,L3/Rates!$B$15*Rates!$B$21)</f>
        <v/>
      </c>
      <c r="N3" s="21">
        <f>M3*Rates!$B$15</f>
        <v/>
      </c>
      <c r="O3" s="21">
        <f>M3*Rates!$B$13</f>
        <v/>
      </c>
      <c r="P3" s="21">
        <f>M3*Rates!$B$14</f>
        <v/>
      </c>
      <c r="Q3" s="21">
        <f>M3*Rates!$B$16</f>
        <v/>
      </c>
      <c r="R3" s="22">
        <f>N3*Rates!$D$6+O3*Rates!$D$9+P3*Rates!$D$8+Q3*Rates!$D$7</f>
        <v/>
      </c>
    </row>
    <row r="4">
      <c r="A4" s="20" t="inlineStr">
        <is>
          <t>MVP</t>
        </is>
      </c>
      <c r="B4" s="17" t="inlineStr">
        <is>
          <t>A. Platform Hardening &amp; Security</t>
        </is>
      </c>
      <c r="C4" s="17" t="inlineStr">
        <is>
          <t>Authentication &amp; Access</t>
        </is>
      </c>
      <c r="D4" s="17" t="inlineStr">
        <is>
          <t>Auth hardening</t>
        </is>
      </c>
      <c r="E4" s="19" t="inlineStr">
        <is>
          <t>Secure token storage (Keychain/Keystore)</t>
        </is>
      </c>
      <c r="F4" s="17" t="inlineStr">
        <is>
          <t>Integration</t>
        </is>
      </c>
      <c r="G4" s="17" t="n">
        <v>0</v>
      </c>
      <c r="H4" s="17" t="n">
        <v>2</v>
      </c>
      <c r="I4" s="17" t="n">
        <v>0</v>
      </c>
      <c r="J4" s="21">
        <f>SUM(G4:I4)</f>
        <v/>
      </c>
      <c r="K4" s="18">
        <f>VLOOKUP(F4,'AI Factors'!$A$3:$B$9,2,FALSE)</f>
        <v/>
      </c>
      <c r="L4" s="21">
        <f>J4*(1-K4)</f>
        <v/>
      </c>
      <c r="M4" s="21">
        <f>IF(L4=0,0,L4/Rates!$B$15*Rates!$B$21)</f>
        <v/>
      </c>
      <c r="N4" s="21">
        <f>M4*Rates!$B$15</f>
        <v/>
      </c>
      <c r="O4" s="21">
        <f>M4*Rates!$B$13</f>
        <v/>
      </c>
      <c r="P4" s="21">
        <f>M4*Rates!$B$14</f>
        <v/>
      </c>
      <c r="Q4" s="21">
        <f>M4*Rates!$B$16</f>
        <v/>
      </c>
      <c r="R4" s="22">
        <f>N4*Rates!$D$6+O4*Rates!$D$9+P4*Rates!$D$8+Q4*Rates!$D$7</f>
        <v/>
      </c>
    </row>
    <row r="5">
      <c r="A5" s="20" t="inlineStr">
        <is>
          <t>MVP</t>
        </is>
      </c>
      <c r="B5" s="17" t="inlineStr">
        <is>
          <t>A. Platform Hardening &amp; Security</t>
        </is>
      </c>
      <c r="C5" s="17" t="inlineStr">
        <is>
          <t>Authentication &amp; Access</t>
        </is>
      </c>
      <c r="D5" s="17" t="inlineStr">
        <is>
          <t>Auth hardening</t>
        </is>
      </c>
      <c r="E5" s="19" t="inlineStr">
        <is>
          <t>Session 401 handling + refresh</t>
        </is>
      </c>
      <c r="F5" s="17" t="inlineStr">
        <is>
          <t>Business Logic</t>
        </is>
      </c>
      <c r="G5" s="17" t="n">
        <v>1</v>
      </c>
      <c r="H5" s="17" t="n">
        <v>2</v>
      </c>
      <c r="I5" s="17" t="n">
        <v>0</v>
      </c>
      <c r="J5" s="21">
        <f>SUM(G5:I5)</f>
        <v/>
      </c>
      <c r="K5" s="18">
        <f>VLOOKUP(F5,'AI Factors'!$A$3:$B$9,2,FALSE)</f>
        <v/>
      </c>
      <c r="L5" s="21">
        <f>J5*(1-K5)</f>
        <v/>
      </c>
      <c r="M5" s="21">
        <f>IF(L5=0,0,L5/Rates!$B$15*Rates!$B$21)</f>
        <v/>
      </c>
      <c r="N5" s="21">
        <f>M5*Rates!$B$15</f>
        <v/>
      </c>
      <c r="O5" s="21">
        <f>M5*Rates!$B$13</f>
        <v/>
      </c>
      <c r="P5" s="21">
        <f>M5*Rates!$B$14</f>
        <v/>
      </c>
      <c r="Q5" s="21">
        <f>M5*Rates!$B$16</f>
        <v/>
      </c>
      <c r="R5" s="22">
        <f>N5*Rates!$D$6+O5*Rates!$D$9+P5*Rates!$D$8+Q5*Rates!$D$7</f>
        <v/>
      </c>
    </row>
    <row r="6">
      <c r="A6" s="20" t="inlineStr">
        <is>
          <t>MVP</t>
        </is>
      </c>
      <c r="B6" s="17" t="inlineStr">
        <is>
          <t>A. Platform Hardening &amp; Security</t>
        </is>
      </c>
      <c r="C6" s="17" t="inlineStr">
        <is>
          <t>Authentication &amp; Access</t>
        </is>
      </c>
      <c r="D6" s="17" t="inlineStr">
        <is>
          <t>Authorization</t>
        </is>
      </c>
      <c r="E6" s="19" t="inlineStr">
        <is>
          <t>Fine-grained RBAC (spatie roles/permissions)</t>
        </is>
      </c>
      <c r="F6" s="17" t="inlineStr">
        <is>
          <t>Business Logic</t>
        </is>
      </c>
      <c r="G6" s="17" t="n">
        <v>4</v>
      </c>
      <c r="H6" s="17" t="n">
        <v>0</v>
      </c>
      <c r="I6" s="17" t="n">
        <v>1</v>
      </c>
      <c r="J6" s="21">
        <f>SUM(G6:I6)</f>
        <v/>
      </c>
      <c r="K6" s="18">
        <f>VLOOKUP(F6,'AI Factors'!$A$3:$B$9,2,FALSE)</f>
        <v/>
      </c>
      <c r="L6" s="21">
        <f>J6*(1-K6)</f>
        <v/>
      </c>
      <c r="M6" s="21">
        <f>IF(L6=0,0,L6/Rates!$B$15*Rates!$B$21)</f>
        <v/>
      </c>
      <c r="N6" s="21">
        <f>M6*Rates!$B$15</f>
        <v/>
      </c>
      <c r="O6" s="21">
        <f>M6*Rates!$B$13</f>
        <v/>
      </c>
      <c r="P6" s="21">
        <f>M6*Rates!$B$14</f>
        <v/>
      </c>
      <c r="Q6" s="21">
        <f>M6*Rates!$B$16</f>
        <v/>
      </c>
      <c r="R6" s="22">
        <f>N6*Rates!$D$6+O6*Rates!$D$9+P6*Rates!$D$8+Q6*Rates!$D$7</f>
        <v/>
      </c>
    </row>
    <row r="7">
      <c r="A7" s="20" t="inlineStr">
        <is>
          <t>MVP</t>
        </is>
      </c>
      <c r="B7" s="17" t="inlineStr">
        <is>
          <t>A. Platform Hardening &amp; Security</t>
        </is>
      </c>
      <c r="C7" s="17" t="inlineStr">
        <is>
          <t>Authentication &amp; Access</t>
        </is>
      </c>
      <c r="D7" s="17" t="inlineStr">
        <is>
          <t>Authorization</t>
        </is>
      </c>
      <c r="E7" s="19" t="inlineStr">
        <is>
          <t>Policy coverage audit + gaps</t>
        </is>
      </c>
      <c r="F7" s="17" t="inlineStr">
        <is>
          <t>Business Logic</t>
        </is>
      </c>
      <c r="G7" s="17" t="n">
        <v>2</v>
      </c>
      <c r="H7" s="17" t="n">
        <v>0</v>
      </c>
      <c r="I7" s="17" t="n">
        <v>0</v>
      </c>
      <c r="J7" s="21">
        <f>SUM(G7:I7)</f>
        <v/>
      </c>
      <c r="K7" s="18">
        <f>VLOOKUP(F7,'AI Factors'!$A$3:$B$9,2,FALSE)</f>
        <v/>
      </c>
      <c r="L7" s="21">
        <f>J7*(1-K7)</f>
        <v/>
      </c>
      <c r="M7" s="21">
        <f>IF(L7=0,0,L7/Rates!$B$15*Rates!$B$21)</f>
        <v/>
      </c>
      <c r="N7" s="21">
        <f>M7*Rates!$B$15</f>
        <v/>
      </c>
      <c r="O7" s="21">
        <f>M7*Rates!$B$13</f>
        <v/>
      </c>
      <c r="P7" s="21">
        <f>M7*Rates!$B$14</f>
        <v/>
      </c>
      <c r="Q7" s="21">
        <f>M7*Rates!$B$16</f>
        <v/>
      </c>
      <c r="R7" s="22">
        <f>N7*Rates!$D$6+O7*Rates!$D$9+P7*Rates!$D$8+Q7*Rates!$D$7</f>
        <v/>
      </c>
    </row>
    <row r="8">
      <c r="A8" s="20" t="inlineStr">
        <is>
          <t>MVP</t>
        </is>
      </c>
      <c r="B8" s="17" t="inlineStr">
        <is>
          <t>A. Platform Hardening &amp; Security</t>
        </is>
      </c>
      <c r="C8" s="17" t="inlineStr">
        <is>
          <t>Secrets &amp; Config</t>
        </is>
      </c>
      <c r="D8" s="17" t="inlineStr">
        <is>
          <t>Config hardening</t>
        </is>
      </c>
      <c r="E8" s="19" t="inlineStr">
        <is>
          <t>Rotate + externalize Maps/Firebase keys</t>
        </is>
      </c>
      <c r="F8" s="17" t="inlineStr">
        <is>
          <t>Integration</t>
        </is>
      </c>
      <c r="G8" s="17" t="n">
        <v>1</v>
      </c>
      <c r="H8" s="17" t="n">
        <v>1</v>
      </c>
      <c r="I8" s="17" t="n">
        <v>0</v>
      </c>
      <c r="J8" s="21">
        <f>SUM(G8:I8)</f>
        <v/>
      </c>
      <c r="K8" s="18">
        <f>VLOOKUP(F8,'AI Factors'!$A$3:$B$9,2,FALSE)</f>
        <v/>
      </c>
      <c r="L8" s="21">
        <f>J8*(1-K8)</f>
        <v/>
      </c>
      <c r="M8" s="21">
        <f>IF(L8=0,0,L8/Rates!$B$15*Rates!$B$21)</f>
        <v/>
      </c>
      <c r="N8" s="21">
        <f>M8*Rates!$B$15</f>
        <v/>
      </c>
      <c r="O8" s="21">
        <f>M8*Rates!$B$13</f>
        <v/>
      </c>
      <c r="P8" s="21">
        <f>M8*Rates!$B$14</f>
        <v/>
      </c>
      <c r="Q8" s="21">
        <f>M8*Rates!$B$16</f>
        <v/>
      </c>
      <c r="R8" s="22">
        <f>N8*Rates!$D$6+O8*Rates!$D$9+P8*Rates!$D$8+Q8*Rates!$D$7</f>
        <v/>
      </c>
    </row>
    <row r="9">
      <c r="A9" s="20" t="inlineStr">
        <is>
          <t>MVP</t>
        </is>
      </c>
      <c r="B9" s="17" t="inlineStr">
        <is>
          <t>A. Platform Hardening &amp; Security</t>
        </is>
      </c>
      <c r="C9" s="17" t="inlineStr">
        <is>
          <t>Secrets &amp; Config</t>
        </is>
      </c>
      <c r="D9" s="17" t="inlineStr">
        <is>
          <t>Config hardening</t>
        </is>
      </c>
      <c r="E9" s="19" t="inlineStr">
        <is>
          <t>CORS configuration</t>
        </is>
      </c>
      <c r="F9" s="17" t="inlineStr">
        <is>
          <t>CRUD/Config</t>
        </is>
      </c>
      <c r="G9" s="17" t="n">
        <v>1</v>
      </c>
      <c r="H9" s="17" t="n">
        <v>0</v>
      </c>
      <c r="I9" s="17" t="n">
        <v>0</v>
      </c>
      <c r="J9" s="21">
        <f>SUM(G9:I9)</f>
        <v/>
      </c>
      <c r="K9" s="18">
        <f>VLOOKUP(F9,'AI Factors'!$A$3:$B$9,2,FALSE)</f>
        <v/>
      </c>
      <c r="L9" s="21">
        <f>J9*(1-K9)</f>
        <v/>
      </c>
      <c r="M9" s="21">
        <f>IF(L9=0,0,L9/Rates!$B$15*Rates!$B$21)</f>
        <v/>
      </c>
      <c r="N9" s="21">
        <f>M9*Rates!$B$15</f>
        <v/>
      </c>
      <c r="O9" s="21">
        <f>M9*Rates!$B$13</f>
        <v/>
      </c>
      <c r="P9" s="21">
        <f>M9*Rates!$B$14</f>
        <v/>
      </c>
      <c r="Q9" s="21">
        <f>M9*Rates!$B$16</f>
        <v/>
      </c>
      <c r="R9" s="22">
        <f>N9*Rates!$D$6+O9*Rates!$D$9+P9*Rates!$D$8+Q9*Rates!$D$7</f>
        <v/>
      </c>
    </row>
    <row r="10">
      <c r="A10" s="20" t="inlineStr">
        <is>
          <t>MVP</t>
        </is>
      </c>
      <c r="B10" s="17" t="inlineStr">
        <is>
          <t>A. Platform Hardening &amp; Security</t>
        </is>
      </c>
      <c r="C10" s="17" t="inlineStr">
        <is>
          <t>Secrets &amp; Config</t>
        </is>
      </c>
      <c r="D10" s="17" t="inlineStr">
        <is>
          <t>Config hardening</t>
        </is>
      </c>
      <c r="E10" s="19" t="inlineStr">
        <is>
          <t>.env.example + secrets management</t>
        </is>
      </c>
      <c r="F10" s="17" t="inlineStr">
        <is>
          <t>Infra/DevOps</t>
        </is>
      </c>
      <c r="G10" s="17" t="n">
        <v>1</v>
      </c>
      <c r="H10" s="17" t="n">
        <v>0</v>
      </c>
      <c r="I10" s="17" t="n">
        <v>0</v>
      </c>
      <c r="J10" s="21">
        <f>SUM(G10:I10)</f>
        <v/>
      </c>
      <c r="K10" s="18">
        <f>VLOOKUP(F10,'AI Factors'!$A$3:$B$9,2,FALSE)</f>
        <v/>
      </c>
      <c r="L10" s="21">
        <f>J10*(1-K10)</f>
        <v/>
      </c>
      <c r="M10" s="21">
        <f>IF(L10=0,0,L10/Rates!$B$15*Rates!$B$21)</f>
        <v/>
      </c>
      <c r="N10" s="21">
        <f>M10*Rates!$B$15</f>
        <v/>
      </c>
      <c r="O10" s="21">
        <f>M10*Rates!$B$13</f>
        <v/>
      </c>
      <c r="P10" s="21">
        <f>M10*Rates!$B$14</f>
        <v/>
      </c>
      <c r="Q10" s="21">
        <f>M10*Rates!$B$16</f>
        <v/>
      </c>
      <c r="R10" s="22">
        <f>N10*Rates!$D$6+O10*Rates!$D$9+P10*Rates!$D$8+Q10*Rates!$D$7</f>
        <v/>
      </c>
    </row>
    <row r="11">
      <c r="A11" s="20" t="inlineStr">
        <is>
          <t>MVP</t>
        </is>
      </c>
      <c r="B11" s="17" t="inlineStr">
        <is>
          <t>A. Platform Hardening &amp; Security</t>
        </is>
      </c>
      <c r="C11" s="17" t="inlineStr">
        <is>
          <t>GDPR &amp; Privacy</t>
        </is>
      </c>
      <c r="D11" s="17" t="inlineStr">
        <is>
          <t>Account lifecycle</t>
        </is>
      </c>
      <c r="E11" s="19" t="inlineStr">
        <is>
          <t>Account deletion (self-serve, cascade/anonymize)</t>
        </is>
      </c>
      <c r="F11" s="17" t="inlineStr">
        <is>
          <t>Complex/Critical</t>
        </is>
      </c>
      <c r="G11" s="17" t="n">
        <v>3</v>
      </c>
      <c r="H11" s="17" t="n">
        <v>1</v>
      </c>
      <c r="I11" s="17" t="n">
        <v>1</v>
      </c>
      <c r="J11" s="21">
        <f>SUM(G11:I11)</f>
        <v/>
      </c>
      <c r="K11" s="18">
        <f>VLOOKUP(F11,'AI Factors'!$A$3:$B$9,2,FALSE)</f>
        <v/>
      </c>
      <c r="L11" s="21">
        <f>J11*(1-K11)</f>
        <v/>
      </c>
      <c r="M11" s="21">
        <f>IF(L11=0,0,L11/Rates!$B$15*Rates!$B$21)</f>
        <v/>
      </c>
      <c r="N11" s="21">
        <f>M11*Rates!$B$15</f>
        <v/>
      </c>
      <c r="O11" s="21">
        <f>M11*Rates!$B$13</f>
        <v/>
      </c>
      <c r="P11" s="21">
        <f>M11*Rates!$B$14</f>
        <v/>
      </c>
      <c r="Q11" s="21">
        <f>M11*Rates!$B$16</f>
        <v/>
      </c>
      <c r="R11" s="22">
        <f>N11*Rates!$D$6+O11*Rates!$D$9+P11*Rates!$D$8+Q11*Rates!$D$7</f>
        <v/>
      </c>
    </row>
    <row r="12">
      <c r="A12" s="20" t="inlineStr">
        <is>
          <t>MVP</t>
        </is>
      </c>
      <c r="B12" s="17" t="inlineStr">
        <is>
          <t>A. Platform Hardening &amp; Security</t>
        </is>
      </c>
      <c r="C12" s="17" t="inlineStr">
        <is>
          <t>GDPR &amp; Privacy</t>
        </is>
      </c>
      <c r="D12" s="17" t="inlineStr">
        <is>
          <t>Account lifecycle</t>
        </is>
      </c>
      <c r="E12" s="19" t="inlineStr">
        <is>
          <t>Account deactivation / reactivation</t>
        </is>
      </c>
      <c r="F12" s="17" t="inlineStr">
        <is>
          <t>Business Logic</t>
        </is>
      </c>
      <c r="G12" s="17" t="n">
        <v>1</v>
      </c>
      <c r="H12" s="17" t="n">
        <v>1</v>
      </c>
      <c r="I12" s="17" t="n">
        <v>0</v>
      </c>
      <c r="J12" s="21">
        <f>SUM(G12:I12)</f>
        <v/>
      </c>
      <c r="K12" s="18">
        <f>VLOOKUP(F12,'AI Factors'!$A$3:$B$9,2,FALSE)</f>
        <v/>
      </c>
      <c r="L12" s="21">
        <f>J12*(1-K12)</f>
        <v/>
      </c>
      <c r="M12" s="21">
        <f>IF(L12=0,0,L12/Rates!$B$15*Rates!$B$21)</f>
        <v/>
      </c>
      <c r="N12" s="21">
        <f>M12*Rates!$B$15</f>
        <v/>
      </c>
      <c r="O12" s="21">
        <f>M12*Rates!$B$13</f>
        <v/>
      </c>
      <c r="P12" s="21">
        <f>M12*Rates!$B$14</f>
        <v/>
      </c>
      <c r="Q12" s="21">
        <f>M12*Rates!$B$16</f>
        <v/>
      </c>
      <c r="R12" s="22">
        <f>N12*Rates!$D$6+O12*Rates!$D$9+P12*Rates!$D$8+Q12*Rates!$D$7</f>
        <v/>
      </c>
    </row>
    <row r="13">
      <c r="A13" s="20" t="inlineStr">
        <is>
          <t>MVP</t>
        </is>
      </c>
      <c r="B13" s="17" t="inlineStr">
        <is>
          <t>A. Platform Hardening &amp; Security</t>
        </is>
      </c>
      <c r="C13" s="17" t="inlineStr">
        <is>
          <t>GDPR &amp; Privacy</t>
        </is>
      </c>
      <c r="D13" s="17" t="inlineStr">
        <is>
          <t>Data rights</t>
        </is>
      </c>
      <c r="E13" s="19" t="inlineStr">
        <is>
          <t>SAR data export (per-user)</t>
        </is>
      </c>
      <c r="F13" s="17" t="inlineStr">
        <is>
          <t>Complex/Critical</t>
        </is>
      </c>
      <c r="G13" s="17" t="n">
        <v>3</v>
      </c>
      <c r="H13" s="17" t="n">
        <v>0</v>
      </c>
      <c r="I13" s="17" t="n">
        <v>1</v>
      </c>
      <c r="J13" s="21">
        <f>SUM(G13:I13)</f>
        <v/>
      </c>
      <c r="K13" s="18">
        <f>VLOOKUP(F13,'AI Factors'!$A$3:$B$9,2,FALSE)</f>
        <v/>
      </c>
      <c r="L13" s="21">
        <f>J13*(1-K13)</f>
        <v/>
      </c>
      <c r="M13" s="21">
        <f>IF(L13=0,0,L13/Rates!$B$15*Rates!$B$21)</f>
        <v/>
      </c>
      <c r="N13" s="21">
        <f>M13*Rates!$B$15</f>
        <v/>
      </c>
      <c r="O13" s="21">
        <f>M13*Rates!$B$13</f>
        <v/>
      </c>
      <c r="P13" s="21">
        <f>M13*Rates!$B$14</f>
        <v/>
      </c>
      <c r="Q13" s="21">
        <f>M13*Rates!$B$16</f>
        <v/>
      </c>
      <c r="R13" s="22">
        <f>N13*Rates!$D$6+O13*Rates!$D$9+P13*Rates!$D$8+Q13*Rates!$D$7</f>
        <v/>
      </c>
    </row>
    <row r="14">
      <c r="A14" s="20" t="inlineStr">
        <is>
          <t>MVP</t>
        </is>
      </c>
      <c r="B14" s="17" t="inlineStr">
        <is>
          <t>A. Platform Hardening &amp; Security</t>
        </is>
      </c>
      <c r="C14" s="17" t="inlineStr">
        <is>
          <t>GDPR &amp; Privacy</t>
        </is>
      </c>
      <c r="D14" s="17" t="inlineStr">
        <is>
          <t>Data rights</t>
        </is>
      </c>
      <c r="E14" s="19" t="inlineStr">
        <is>
          <t>Right to erasure + retention policy jobs</t>
        </is>
      </c>
      <c r="F14" s="17" t="inlineStr">
        <is>
          <t>Complex/Critical</t>
        </is>
      </c>
      <c r="G14" s="17" t="n">
        <v>3</v>
      </c>
      <c r="H14" s="17" t="n">
        <v>0</v>
      </c>
      <c r="I14" s="17" t="n">
        <v>0</v>
      </c>
      <c r="J14" s="21">
        <f>SUM(G14:I14)</f>
        <v/>
      </c>
      <c r="K14" s="18">
        <f>VLOOKUP(F14,'AI Factors'!$A$3:$B$9,2,FALSE)</f>
        <v/>
      </c>
      <c r="L14" s="21">
        <f>J14*(1-K14)</f>
        <v/>
      </c>
      <c r="M14" s="21">
        <f>IF(L14=0,0,L14/Rates!$B$15*Rates!$B$21)</f>
        <v/>
      </c>
      <c r="N14" s="21">
        <f>M14*Rates!$B$15</f>
        <v/>
      </c>
      <c r="O14" s="21">
        <f>M14*Rates!$B$13</f>
        <v/>
      </c>
      <c r="P14" s="21">
        <f>M14*Rates!$B$14</f>
        <v/>
      </c>
      <c r="Q14" s="21">
        <f>M14*Rates!$B$16</f>
        <v/>
      </c>
      <c r="R14" s="22">
        <f>N14*Rates!$D$6+O14*Rates!$D$9+P14*Rates!$D$8+Q14*Rates!$D$7</f>
        <v/>
      </c>
    </row>
    <row r="15">
      <c r="A15" s="20" t="inlineStr">
        <is>
          <t>MVP</t>
        </is>
      </c>
      <c r="B15" s="17" t="inlineStr">
        <is>
          <t>A. Platform Hardening &amp; Security</t>
        </is>
      </c>
      <c r="C15" s="17" t="inlineStr">
        <is>
          <t>GDPR &amp; Privacy</t>
        </is>
      </c>
      <c r="D15" s="17" t="inlineStr">
        <is>
          <t>Data rights</t>
        </is>
      </c>
      <c r="E15" s="19" t="inlineStr">
        <is>
          <t>PII scrubbing in logs/audits</t>
        </is>
      </c>
      <c r="F15" s="17" t="inlineStr">
        <is>
          <t>Business Logic</t>
        </is>
      </c>
      <c r="G15" s="17" t="n">
        <v>2</v>
      </c>
      <c r="H15" s="17" t="n">
        <v>0</v>
      </c>
      <c r="I15" s="17" t="n">
        <v>0</v>
      </c>
      <c r="J15" s="21">
        <f>SUM(G15:I15)</f>
        <v/>
      </c>
      <c r="K15" s="18">
        <f>VLOOKUP(F15,'AI Factors'!$A$3:$B$9,2,FALSE)</f>
        <v/>
      </c>
      <c r="L15" s="21">
        <f>J15*(1-K15)</f>
        <v/>
      </c>
      <c r="M15" s="21">
        <f>IF(L15=0,0,L15/Rates!$B$15*Rates!$B$21)</f>
        <v/>
      </c>
      <c r="N15" s="21">
        <f>M15*Rates!$B$15</f>
        <v/>
      </c>
      <c r="O15" s="21">
        <f>M15*Rates!$B$13</f>
        <v/>
      </c>
      <c r="P15" s="21">
        <f>M15*Rates!$B$14</f>
        <v/>
      </c>
      <c r="Q15" s="21">
        <f>M15*Rates!$B$16</f>
        <v/>
      </c>
      <c r="R15" s="22">
        <f>N15*Rates!$D$6+O15*Rates!$D$9+P15*Rates!$D$8+Q15*Rates!$D$7</f>
        <v/>
      </c>
    </row>
    <row r="16">
      <c r="A16" s="20" t="inlineStr">
        <is>
          <t>MVP</t>
        </is>
      </c>
      <c r="B16" s="17" t="inlineStr">
        <is>
          <t>A. Platform Hardening &amp; Security</t>
        </is>
      </c>
      <c r="C16" s="17" t="inlineStr">
        <is>
          <t>GDPR &amp; Privacy</t>
        </is>
      </c>
      <c r="D16" s="17" t="inlineStr">
        <is>
          <t>Data rights</t>
        </is>
      </c>
      <c r="E16" s="19" t="inlineStr">
        <is>
          <t>Consent + Terms/Privacy acceptance</t>
        </is>
      </c>
      <c r="F16" s="17" t="inlineStr">
        <is>
          <t>CRUD/Config</t>
        </is>
      </c>
      <c r="G16" s="17" t="n">
        <v>1</v>
      </c>
      <c r="H16" s="17" t="n">
        <v>1</v>
      </c>
      <c r="I16" s="17" t="n">
        <v>0</v>
      </c>
      <c r="J16" s="21">
        <f>SUM(G16:I16)</f>
        <v/>
      </c>
      <c r="K16" s="18">
        <f>VLOOKUP(F16,'AI Factors'!$A$3:$B$9,2,FALSE)</f>
        <v/>
      </c>
      <c r="L16" s="21">
        <f>J16*(1-K16)</f>
        <v/>
      </c>
      <c r="M16" s="21">
        <f>IF(L16=0,0,L16/Rates!$B$15*Rates!$B$21)</f>
        <v/>
      </c>
      <c r="N16" s="21">
        <f>M16*Rates!$B$15</f>
        <v/>
      </c>
      <c r="O16" s="21">
        <f>M16*Rates!$B$13</f>
        <v/>
      </c>
      <c r="P16" s="21">
        <f>M16*Rates!$B$14</f>
        <v/>
      </c>
      <c r="Q16" s="21">
        <f>M16*Rates!$B$16</f>
        <v/>
      </c>
      <c r="R16" s="22">
        <f>N16*Rates!$D$6+O16*Rates!$D$9+P16*Rates!$D$8+Q16*Rates!$D$7</f>
        <v/>
      </c>
    </row>
    <row r="17">
      <c r="A17" s="20" t="inlineStr">
        <is>
          <t>MVP</t>
        </is>
      </c>
      <c r="B17" s="17" t="inlineStr">
        <is>
          <t>B. Payments Integrity &amp; Reliability</t>
        </is>
      </c>
      <c r="C17" s="17" t="inlineStr">
        <is>
          <t>Billing correctness</t>
        </is>
      </c>
      <c r="D17" s="17" t="inlineStr">
        <is>
          <t>Payslip &amp; invoice</t>
        </is>
      </c>
      <c r="E17" s="19" t="inlineStr">
        <is>
          <t>Fix payslip stub (fields + template)</t>
        </is>
      </c>
      <c r="F17" s="17" t="inlineStr">
        <is>
          <t>Business Logic</t>
        </is>
      </c>
      <c r="G17" s="17" t="n">
        <v>2</v>
      </c>
      <c r="H17" s="17" t="n">
        <v>0</v>
      </c>
      <c r="I17" s="17" t="n">
        <v>0</v>
      </c>
      <c r="J17" s="21">
        <f>SUM(G17:I17)</f>
        <v/>
      </c>
      <c r="K17" s="18">
        <f>VLOOKUP(F17,'AI Factors'!$A$3:$B$9,2,FALSE)</f>
        <v/>
      </c>
      <c r="L17" s="21">
        <f>J17*(1-K17)</f>
        <v/>
      </c>
      <c r="M17" s="21">
        <f>IF(L17=0,0,L17/Rates!$B$15*Rates!$B$21)</f>
        <v/>
      </c>
      <c r="N17" s="21">
        <f>M17*Rates!$B$15</f>
        <v/>
      </c>
      <c r="O17" s="21">
        <f>M17*Rates!$B$13</f>
        <v/>
      </c>
      <c r="P17" s="21">
        <f>M17*Rates!$B$14</f>
        <v/>
      </c>
      <c r="Q17" s="21">
        <f>M17*Rates!$B$16</f>
        <v/>
      </c>
      <c r="R17" s="22">
        <f>N17*Rates!$D$6+O17*Rates!$D$9+P17*Rates!$D$8+Q17*Rates!$D$7</f>
        <v/>
      </c>
    </row>
    <row r="18">
      <c r="A18" s="20" t="inlineStr">
        <is>
          <t>MVP</t>
        </is>
      </c>
      <c r="B18" s="17" t="inlineStr">
        <is>
          <t>B. Payments Integrity &amp; Reliability</t>
        </is>
      </c>
      <c r="C18" s="17" t="inlineStr">
        <is>
          <t>Billing correctness</t>
        </is>
      </c>
      <c r="D18" s="17" t="inlineStr">
        <is>
          <t>Payslip &amp; invoice</t>
        </is>
      </c>
      <c r="E18" s="19" t="inlineStr">
        <is>
          <t>Charge %/rate bounds validation</t>
        </is>
      </c>
      <c r="F18" s="17" t="inlineStr">
        <is>
          <t>CRUD/Config</t>
        </is>
      </c>
      <c r="G18" s="17" t="n">
        <v>1</v>
      </c>
      <c r="H18" s="17" t="n">
        <v>0</v>
      </c>
      <c r="I18" s="17" t="n">
        <v>0</v>
      </c>
      <c r="J18" s="21">
        <f>SUM(G18:I18)</f>
        <v/>
      </c>
      <c r="K18" s="18">
        <f>VLOOKUP(F18,'AI Factors'!$A$3:$B$9,2,FALSE)</f>
        <v/>
      </c>
      <c r="L18" s="21">
        <f>J18*(1-K18)</f>
        <v/>
      </c>
      <c r="M18" s="21">
        <f>IF(L18=0,0,L18/Rates!$B$15*Rates!$B$21)</f>
        <v/>
      </c>
      <c r="N18" s="21">
        <f>M18*Rates!$B$15</f>
        <v/>
      </c>
      <c r="O18" s="21">
        <f>M18*Rates!$B$13</f>
        <v/>
      </c>
      <c r="P18" s="21">
        <f>M18*Rates!$B$14</f>
        <v/>
      </c>
      <c r="Q18" s="21">
        <f>M18*Rates!$B$16</f>
        <v/>
      </c>
      <c r="R18" s="22">
        <f>N18*Rates!$D$6+O18*Rates!$D$9+P18*Rates!$D$8+Q18*Rates!$D$7</f>
        <v/>
      </c>
    </row>
    <row r="19">
      <c r="A19" s="20" t="inlineStr">
        <is>
          <t>MVP</t>
        </is>
      </c>
      <c r="B19" s="17" t="inlineStr">
        <is>
          <t>B. Payments Integrity &amp; Reliability</t>
        </is>
      </c>
      <c r="C19" s="17" t="inlineStr">
        <is>
          <t>Billing correctness</t>
        </is>
      </c>
      <c r="D19" s="17" t="inlineStr">
        <is>
          <t>Idempotency</t>
        </is>
      </c>
      <c r="E19" s="19" t="inlineStr">
        <is>
          <t>Unique constraints (invoices/payslips per booking)</t>
        </is>
      </c>
      <c r="F19" s="17" t="inlineStr">
        <is>
          <t>Data/Migration</t>
        </is>
      </c>
      <c r="G19" s="17" t="n">
        <v>1</v>
      </c>
      <c r="H19" s="17" t="n">
        <v>0</v>
      </c>
      <c r="I19" s="17" t="n">
        <v>0</v>
      </c>
      <c r="J19" s="21">
        <f>SUM(G19:I19)</f>
        <v/>
      </c>
      <c r="K19" s="18">
        <f>VLOOKUP(F19,'AI Factors'!$A$3:$B$9,2,FALSE)</f>
        <v/>
      </c>
      <c r="L19" s="21">
        <f>J19*(1-K19)</f>
        <v/>
      </c>
      <c r="M19" s="21">
        <f>IF(L19=0,0,L19/Rates!$B$15*Rates!$B$21)</f>
        <v/>
      </c>
      <c r="N19" s="21">
        <f>M19*Rates!$B$15</f>
        <v/>
      </c>
      <c r="O19" s="21">
        <f>M19*Rates!$B$13</f>
        <v/>
      </c>
      <c r="P19" s="21">
        <f>M19*Rates!$B$14</f>
        <v/>
      </c>
      <c r="Q19" s="21">
        <f>M19*Rates!$B$16</f>
        <v/>
      </c>
      <c r="R19" s="22">
        <f>N19*Rates!$D$6+O19*Rates!$D$9+P19*Rates!$D$8+Q19*Rates!$D$7</f>
        <v/>
      </c>
    </row>
    <row r="20">
      <c r="A20" s="20" t="inlineStr">
        <is>
          <t>MVP</t>
        </is>
      </c>
      <c r="B20" s="17" t="inlineStr">
        <is>
          <t>B. Payments Integrity &amp; Reliability</t>
        </is>
      </c>
      <c r="C20" s="17" t="inlineStr">
        <is>
          <t>Billing correctness</t>
        </is>
      </c>
      <c r="D20" s="17" t="inlineStr">
        <is>
          <t>Idempotency</t>
        </is>
      </c>
      <c r="E20" s="19" t="inlineStr">
        <is>
          <t>Scheduler onOneServer + withoutOverlapping</t>
        </is>
      </c>
      <c r="F20" s="17" t="inlineStr">
        <is>
          <t>Complex/Critical</t>
        </is>
      </c>
      <c r="G20" s="17" t="n">
        <v>2</v>
      </c>
      <c r="H20" s="17" t="n">
        <v>0</v>
      </c>
      <c r="I20" s="17" t="n">
        <v>0</v>
      </c>
      <c r="J20" s="21">
        <f>SUM(G20:I20)</f>
        <v/>
      </c>
      <c r="K20" s="18">
        <f>VLOOKUP(F20,'AI Factors'!$A$3:$B$9,2,FALSE)</f>
        <v/>
      </c>
      <c r="L20" s="21">
        <f>J20*(1-K20)</f>
        <v/>
      </c>
      <c r="M20" s="21">
        <f>IF(L20=0,0,L20/Rates!$B$15*Rates!$B$21)</f>
        <v/>
      </c>
      <c r="N20" s="21">
        <f>M20*Rates!$B$15</f>
        <v/>
      </c>
      <c r="O20" s="21">
        <f>M20*Rates!$B$13</f>
        <v/>
      </c>
      <c r="P20" s="21">
        <f>M20*Rates!$B$14</f>
        <v/>
      </c>
      <c r="Q20" s="21">
        <f>M20*Rates!$B$16</f>
        <v/>
      </c>
      <c r="R20" s="22">
        <f>N20*Rates!$D$6+O20*Rates!$D$9+P20*Rates!$D$8+Q20*Rates!$D$7</f>
        <v/>
      </c>
    </row>
    <row r="21">
      <c r="A21" s="20" t="inlineStr">
        <is>
          <t>MVP</t>
        </is>
      </c>
      <c r="B21" s="17" t="inlineStr">
        <is>
          <t>B. Payments Integrity &amp; Reliability</t>
        </is>
      </c>
      <c r="C21" s="17" t="inlineStr">
        <is>
          <t>Billing correctness</t>
        </is>
      </c>
      <c r="D21" s="17" t="inlineStr">
        <is>
          <t>Idempotency</t>
        </is>
      </c>
      <c r="E21" s="19" t="inlineStr">
        <is>
          <t>Job retry/backoff/failed handling</t>
        </is>
      </c>
      <c r="F21" s="17" t="inlineStr">
        <is>
          <t>Integration</t>
        </is>
      </c>
      <c r="G21" s="17" t="n">
        <v>2</v>
      </c>
      <c r="H21" s="17" t="n">
        <v>0</v>
      </c>
      <c r="I21" s="17" t="n">
        <v>0</v>
      </c>
      <c r="J21" s="21">
        <f>SUM(G21:I21)</f>
        <v/>
      </c>
      <c r="K21" s="18">
        <f>VLOOKUP(F21,'AI Factors'!$A$3:$B$9,2,FALSE)</f>
        <v/>
      </c>
      <c r="L21" s="21">
        <f>J21*(1-K21)</f>
        <v/>
      </c>
      <c r="M21" s="21">
        <f>IF(L21=0,0,L21/Rates!$B$15*Rates!$B$21)</f>
        <v/>
      </c>
      <c r="N21" s="21">
        <f>M21*Rates!$B$15</f>
        <v/>
      </c>
      <c r="O21" s="21">
        <f>M21*Rates!$B$13</f>
        <v/>
      </c>
      <c r="P21" s="21">
        <f>M21*Rates!$B$14</f>
        <v/>
      </c>
      <c r="Q21" s="21">
        <f>M21*Rates!$B$16</f>
        <v/>
      </c>
      <c r="R21" s="22">
        <f>N21*Rates!$D$6+O21*Rates!$D$9+P21*Rates!$D$8+Q21*Rates!$D$7</f>
        <v/>
      </c>
    </row>
    <row r="22">
      <c r="A22" s="20" t="inlineStr">
        <is>
          <t>MVP</t>
        </is>
      </c>
      <c r="B22" s="17" t="inlineStr">
        <is>
          <t>B. Payments Integrity &amp; Reliability</t>
        </is>
      </c>
      <c r="C22" s="17" t="inlineStr">
        <is>
          <t>Reliability &amp; Infra</t>
        </is>
      </c>
      <c r="D22" s="17" t="inlineStr">
        <is>
          <t>Observability</t>
        </is>
      </c>
      <c r="E22" s="19" t="inlineStr">
        <is>
          <t>Crash reporting (Sentry + Crashlytics on)</t>
        </is>
      </c>
      <c r="F22" s="17" t="inlineStr">
        <is>
          <t>Integration</t>
        </is>
      </c>
      <c r="G22" s="17" t="n">
        <v>1</v>
      </c>
      <c r="H22" s="17" t="n">
        <v>1</v>
      </c>
      <c r="I22" s="17" t="n">
        <v>0</v>
      </c>
      <c r="J22" s="21">
        <f>SUM(G22:I22)</f>
        <v/>
      </c>
      <c r="K22" s="18">
        <f>VLOOKUP(F22,'AI Factors'!$A$3:$B$9,2,FALSE)</f>
        <v/>
      </c>
      <c r="L22" s="21">
        <f>J22*(1-K22)</f>
        <v/>
      </c>
      <c r="M22" s="21">
        <f>IF(L22=0,0,L22/Rates!$B$15*Rates!$B$21)</f>
        <v/>
      </c>
      <c r="N22" s="21">
        <f>M22*Rates!$B$15</f>
        <v/>
      </c>
      <c r="O22" s="21">
        <f>M22*Rates!$B$13</f>
        <v/>
      </c>
      <c r="P22" s="21">
        <f>M22*Rates!$B$14</f>
        <v/>
      </c>
      <c r="Q22" s="21">
        <f>M22*Rates!$B$16</f>
        <v/>
      </c>
      <c r="R22" s="22">
        <f>N22*Rates!$D$6+O22*Rates!$D$9+P22*Rates!$D$8+Q22*Rates!$D$7</f>
        <v/>
      </c>
    </row>
    <row r="23">
      <c r="A23" s="20" t="inlineStr">
        <is>
          <t>MVP</t>
        </is>
      </c>
      <c r="B23" s="17" t="inlineStr">
        <is>
          <t>B. Payments Integrity &amp; Reliability</t>
        </is>
      </c>
      <c r="C23" s="17" t="inlineStr">
        <is>
          <t>Reliability &amp; Infra</t>
        </is>
      </c>
      <c r="D23" s="17" t="inlineStr">
        <is>
          <t>Observability</t>
        </is>
      </c>
      <c r="E23" s="19" t="inlineStr">
        <is>
          <t>Backup + monitoring/alerts setup</t>
        </is>
      </c>
      <c r="F23" s="17" t="inlineStr">
        <is>
          <t>Infra/DevOps</t>
        </is>
      </c>
      <c r="G23" s="17" t="n">
        <v>2</v>
      </c>
      <c r="H23" s="17" t="n">
        <v>0</v>
      </c>
      <c r="I23" s="17" t="n">
        <v>0</v>
      </c>
      <c r="J23" s="21">
        <f>SUM(G23:I23)</f>
        <v/>
      </c>
      <c r="K23" s="18">
        <f>VLOOKUP(F23,'AI Factors'!$A$3:$B$9,2,FALSE)</f>
        <v/>
      </c>
      <c r="L23" s="21">
        <f>J23*(1-K23)</f>
        <v/>
      </c>
      <c r="M23" s="21">
        <f>IF(L23=0,0,L23/Rates!$B$15*Rates!$B$21)</f>
        <v/>
      </c>
      <c r="N23" s="21">
        <f>M23*Rates!$B$15</f>
        <v/>
      </c>
      <c r="O23" s="21">
        <f>M23*Rates!$B$13</f>
        <v/>
      </c>
      <c r="P23" s="21">
        <f>M23*Rates!$B$14</f>
        <v/>
      </c>
      <c r="Q23" s="21">
        <f>M23*Rates!$B$16</f>
        <v/>
      </c>
      <c r="R23" s="22">
        <f>N23*Rates!$D$6+O23*Rates!$D$9+P23*Rates!$D$8+Q23*Rates!$D$7</f>
        <v/>
      </c>
    </row>
    <row r="24">
      <c r="A24" s="20" t="inlineStr">
        <is>
          <t>MVP</t>
        </is>
      </c>
      <c r="B24" s="17" t="inlineStr">
        <is>
          <t>B. Payments Integrity &amp; Reliability</t>
        </is>
      </c>
      <c r="C24" s="17" t="inlineStr">
        <is>
          <t>Reliability &amp; Infra</t>
        </is>
      </c>
      <c r="D24" s="17" t="inlineStr">
        <is>
          <t>Observability</t>
        </is>
      </c>
      <c r="E24" s="19" t="inlineStr">
        <is>
          <t>Horizon retry / queue tuning</t>
        </is>
      </c>
      <c r="F24" s="17" t="inlineStr">
        <is>
          <t>Infra/DevOps</t>
        </is>
      </c>
      <c r="G24" s="17" t="n">
        <v>1</v>
      </c>
      <c r="H24" s="17" t="n">
        <v>0</v>
      </c>
      <c r="I24" s="17" t="n">
        <v>0</v>
      </c>
      <c r="J24" s="21">
        <f>SUM(G24:I24)</f>
        <v/>
      </c>
      <c r="K24" s="18">
        <f>VLOOKUP(F24,'AI Factors'!$A$3:$B$9,2,FALSE)</f>
        <v/>
      </c>
      <c r="L24" s="21">
        <f>J24*(1-K24)</f>
        <v/>
      </c>
      <c r="M24" s="21">
        <f>IF(L24=0,0,L24/Rates!$B$15*Rates!$B$21)</f>
        <v/>
      </c>
      <c r="N24" s="21">
        <f>M24*Rates!$B$15</f>
        <v/>
      </c>
      <c r="O24" s="21">
        <f>M24*Rates!$B$13</f>
        <v/>
      </c>
      <c r="P24" s="21">
        <f>M24*Rates!$B$14</f>
        <v/>
      </c>
      <c r="Q24" s="21">
        <f>M24*Rates!$B$16</f>
        <v/>
      </c>
      <c r="R24" s="22">
        <f>N24*Rates!$D$6+O24*Rates!$D$9+P24*Rates!$D$8+Q24*Rates!$D$7</f>
        <v/>
      </c>
    </row>
    <row r="25">
      <c r="A25" s="20" t="inlineStr">
        <is>
          <t>MVP</t>
        </is>
      </c>
      <c r="B25" s="17" t="inlineStr">
        <is>
          <t>B. Payments Integrity &amp; Reliability</t>
        </is>
      </c>
      <c r="C25" s="17" t="inlineStr">
        <is>
          <t>Reliability &amp; Infra</t>
        </is>
      </c>
      <c r="D25" s="17" t="inlineStr">
        <is>
          <t>DB integrity</t>
        </is>
      </c>
      <c r="E25" s="19" t="inlineStr">
        <is>
          <t>money -&gt; 2-column refactor (amount_minor+currency)</t>
        </is>
      </c>
      <c r="F25" s="17" t="inlineStr">
        <is>
          <t>Complex/Critical</t>
        </is>
      </c>
      <c r="G25" s="17" t="n">
        <v>3</v>
      </c>
      <c r="H25" s="17" t="n">
        <v>0</v>
      </c>
      <c r="I25" s="17" t="n">
        <v>0</v>
      </c>
      <c r="J25" s="21">
        <f>SUM(G25:I25)</f>
        <v/>
      </c>
      <c r="K25" s="18">
        <f>VLOOKUP(F25,'AI Factors'!$A$3:$B$9,2,FALSE)</f>
        <v/>
      </c>
      <c r="L25" s="21">
        <f>J25*(1-K25)</f>
        <v/>
      </c>
      <c r="M25" s="21">
        <f>IF(L25=0,0,L25/Rates!$B$15*Rates!$B$21)</f>
        <v/>
      </c>
      <c r="N25" s="21">
        <f>M25*Rates!$B$15</f>
        <v/>
      </c>
      <c r="O25" s="21">
        <f>M25*Rates!$B$13</f>
        <v/>
      </c>
      <c r="P25" s="21">
        <f>M25*Rates!$B$14</f>
        <v/>
      </c>
      <c r="Q25" s="21">
        <f>M25*Rates!$B$16</f>
        <v/>
      </c>
      <c r="R25" s="22">
        <f>N25*Rates!$D$6+O25*Rates!$D$9+P25*Rates!$D$8+Q25*Rates!$D$7</f>
        <v/>
      </c>
    </row>
    <row r="26">
      <c r="A26" s="20" t="inlineStr">
        <is>
          <t>MVP</t>
        </is>
      </c>
      <c r="B26" s="17" t="inlineStr">
        <is>
          <t>B. Payments Integrity &amp; Reliability</t>
        </is>
      </c>
      <c r="C26" s="17" t="inlineStr">
        <is>
          <t>Reliability &amp; Infra</t>
        </is>
      </c>
      <c r="D26" s="17" t="inlineStr">
        <is>
          <t>DB integrity</t>
        </is>
      </c>
      <c r="E26" s="19" t="inlineStr">
        <is>
          <t>Indexes + FK + soft-delete cascade fixes</t>
        </is>
      </c>
      <c r="F26" s="17" t="inlineStr">
        <is>
          <t>Data/Migration</t>
        </is>
      </c>
      <c r="G26" s="17" t="n">
        <v>2</v>
      </c>
      <c r="H26" s="17" t="n">
        <v>0</v>
      </c>
      <c r="I26" s="17" t="n">
        <v>0</v>
      </c>
      <c r="J26" s="21">
        <f>SUM(G26:I26)</f>
        <v/>
      </c>
      <c r="K26" s="18">
        <f>VLOOKUP(F26,'AI Factors'!$A$3:$B$9,2,FALSE)</f>
        <v/>
      </c>
      <c r="L26" s="21">
        <f>J26*(1-K26)</f>
        <v/>
      </c>
      <c r="M26" s="21">
        <f>IF(L26=0,0,L26/Rates!$B$15*Rates!$B$21)</f>
        <v/>
      </c>
      <c r="N26" s="21">
        <f>M26*Rates!$B$15</f>
        <v/>
      </c>
      <c r="O26" s="21">
        <f>M26*Rates!$B$13</f>
        <v/>
      </c>
      <c r="P26" s="21">
        <f>M26*Rates!$B$14</f>
        <v/>
      </c>
      <c r="Q26" s="21">
        <f>M26*Rates!$B$16</f>
        <v/>
      </c>
      <c r="R26" s="22">
        <f>N26*Rates!$D$6+O26*Rates!$D$9+P26*Rates!$D$8+Q26*Rates!$D$7</f>
        <v/>
      </c>
    </row>
    <row r="27">
      <c r="A27" s="20" t="inlineStr">
        <is>
          <t>MVP</t>
        </is>
      </c>
      <c r="B27" s="17" t="inlineStr">
        <is>
          <t>B. Payments Integrity &amp; Reliability</t>
        </is>
      </c>
      <c r="C27" s="17" t="inlineStr">
        <is>
          <t>Quality baseline</t>
        </is>
      </c>
      <c r="D27" s="17" t="inlineStr">
        <is>
          <t>Test &amp; CI</t>
        </is>
      </c>
      <c r="E27" s="19" t="inlineStr">
        <is>
          <t>Test harness bootstrap (factories/fixtures)</t>
        </is>
      </c>
      <c r="F27" s="17" t="inlineStr">
        <is>
          <t>Infra/DevOps</t>
        </is>
      </c>
      <c r="G27" s="17" t="n">
        <v>2</v>
      </c>
      <c r="H27" s="17" t="n">
        <v>1</v>
      </c>
      <c r="I27" s="17" t="n">
        <v>0</v>
      </c>
      <c r="J27" s="21">
        <f>SUM(G27:I27)</f>
        <v/>
      </c>
      <c r="K27" s="18">
        <f>VLOOKUP(F27,'AI Factors'!$A$3:$B$9,2,FALSE)</f>
        <v/>
      </c>
      <c r="L27" s="21">
        <f>J27*(1-K27)</f>
        <v/>
      </c>
      <c r="M27" s="21">
        <f>IF(L27=0,0,L27/Rates!$B$15*Rates!$B$21)</f>
        <v/>
      </c>
      <c r="N27" s="21">
        <f>M27*Rates!$B$15</f>
        <v/>
      </c>
      <c r="O27" s="21">
        <f>M27*Rates!$B$13</f>
        <v/>
      </c>
      <c r="P27" s="21">
        <f>M27*Rates!$B$14</f>
        <v/>
      </c>
      <c r="Q27" s="21">
        <f>M27*Rates!$B$16</f>
        <v/>
      </c>
      <c r="R27" s="22">
        <f>N27*Rates!$D$6+O27*Rates!$D$9+P27*Rates!$D$8+Q27*Rates!$D$7</f>
        <v/>
      </c>
    </row>
    <row r="28">
      <c r="A28" s="20" t="inlineStr">
        <is>
          <t>MVP</t>
        </is>
      </c>
      <c r="B28" s="17" t="inlineStr">
        <is>
          <t>B. Payments Integrity &amp; Reliability</t>
        </is>
      </c>
      <c r="C28" s="17" t="inlineStr">
        <is>
          <t>Quality baseline</t>
        </is>
      </c>
      <c r="D28" s="17" t="inlineStr">
        <is>
          <t>Test &amp; CI</t>
        </is>
      </c>
      <c r="E28" s="19" t="inlineStr">
        <is>
          <t>CI/CD pipelines (2 repos)</t>
        </is>
      </c>
      <c r="F28" s="17" t="inlineStr">
        <is>
          <t>Infra/DevOps</t>
        </is>
      </c>
      <c r="G28" s="17" t="n">
        <v>2</v>
      </c>
      <c r="H28" s="17" t="n">
        <v>1</v>
      </c>
      <c r="I28" s="17" t="n">
        <v>0</v>
      </c>
      <c r="J28" s="21">
        <f>SUM(G28:I28)</f>
        <v/>
      </c>
      <c r="K28" s="18">
        <f>VLOOKUP(F28,'AI Factors'!$A$3:$B$9,2,FALSE)</f>
        <v/>
      </c>
      <c r="L28" s="21">
        <f>J28*(1-K28)</f>
        <v/>
      </c>
      <c r="M28" s="21">
        <f>IF(L28=0,0,L28/Rates!$B$15*Rates!$B$21)</f>
        <v/>
      </c>
      <c r="N28" s="21">
        <f>M28*Rates!$B$15</f>
        <v/>
      </c>
      <c r="O28" s="21">
        <f>M28*Rates!$B$13</f>
        <v/>
      </c>
      <c r="P28" s="21">
        <f>M28*Rates!$B$14</f>
        <v/>
      </c>
      <c r="Q28" s="21">
        <f>M28*Rates!$B$16</f>
        <v/>
      </c>
      <c r="R28" s="22">
        <f>N28*Rates!$D$6+O28*Rates!$D$9+P28*Rates!$D$8+Q28*Rates!$D$7</f>
        <v/>
      </c>
    </row>
    <row r="29">
      <c r="A29" s="20" t="inlineStr">
        <is>
          <t>MVP</t>
        </is>
      </c>
      <c r="B29" s="17" t="inlineStr">
        <is>
          <t>C. Booking &amp; Allocation</t>
        </is>
      </c>
      <c r="C29" s="17" t="inlineStr">
        <is>
          <t>Multi-headcount booking</t>
        </is>
      </c>
      <c r="D29" s="17" t="inlineStr">
        <is>
          <t>Booking entity</t>
        </is>
      </c>
      <c r="E29" s="19" t="inlineStr">
        <is>
          <t>Booking model + migration (per-person)</t>
        </is>
      </c>
      <c r="F29" s="17" t="inlineStr">
        <is>
          <t>Data/Migration</t>
        </is>
      </c>
      <c r="G29" s="17" t="n">
        <v>2</v>
      </c>
      <c r="H29" s="17" t="n">
        <v>0</v>
      </c>
      <c r="I29" s="17" t="n">
        <v>0</v>
      </c>
      <c r="J29" s="21">
        <f>SUM(G29:I29)</f>
        <v/>
      </c>
      <c r="K29" s="18">
        <f>VLOOKUP(F29,'AI Factors'!$A$3:$B$9,2,FALSE)</f>
        <v/>
      </c>
      <c r="L29" s="21">
        <f>J29*(1-K29)</f>
        <v/>
      </c>
      <c r="M29" s="21">
        <f>IF(L29=0,0,L29/Rates!$B$15*Rates!$B$21)</f>
        <v/>
      </c>
      <c r="N29" s="21">
        <f>M29*Rates!$B$15</f>
        <v/>
      </c>
      <c r="O29" s="21">
        <f>M29*Rates!$B$13</f>
        <v/>
      </c>
      <c r="P29" s="21">
        <f>M29*Rates!$B$14</f>
        <v/>
      </c>
      <c r="Q29" s="21">
        <f>M29*Rates!$B$16</f>
        <v/>
      </c>
      <c r="R29" s="22">
        <f>N29*Rates!$D$6+O29*Rates!$D$9+P29*Rates!$D$8+Q29*Rates!$D$7</f>
        <v/>
      </c>
    </row>
    <row r="30">
      <c r="A30" s="20" t="inlineStr">
        <is>
          <t>MVP</t>
        </is>
      </c>
      <c r="B30" s="17" t="inlineStr">
        <is>
          <t>C. Booking &amp; Allocation</t>
        </is>
      </c>
      <c r="C30" s="17" t="inlineStr">
        <is>
          <t>Multi-headcount booking</t>
        </is>
      </c>
      <c r="D30" s="17" t="inlineStr">
        <is>
          <t>Booking entity</t>
        </is>
      </c>
      <c r="E30" s="19" t="inlineStr">
        <is>
          <t>AdvertStatus refactor (partial-fill)</t>
        </is>
      </c>
      <c r="F30" s="17" t="inlineStr">
        <is>
          <t>Business Logic</t>
        </is>
      </c>
      <c r="G30" s="17" t="n">
        <v>3</v>
      </c>
      <c r="H30" s="17" t="n">
        <v>0</v>
      </c>
      <c r="I30" s="17" t="n">
        <v>0</v>
      </c>
      <c r="J30" s="21">
        <f>SUM(G30:I30)</f>
        <v/>
      </c>
      <c r="K30" s="18">
        <f>VLOOKUP(F30,'AI Factors'!$A$3:$B$9,2,FALSE)</f>
        <v/>
      </c>
      <c r="L30" s="21">
        <f>J30*(1-K30)</f>
        <v/>
      </c>
      <c r="M30" s="21">
        <f>IF(L30=0,0,L30/Rates!$B$15*Rates!$B$21)</f>
        <v/>
      </c>
      <c r="N30" s="21">
        <f>M30*Rates!$B$15</f>
        <v/>
      </c>
      <c r="O30" s="21">
        <f>M30*Rates!$B$13</f>
        <v/>
      </c>
      <c r="P30" s="21">
        <f>M30*Rates!$B$14</f>
        <v/>
      </c>
      <c r="Q30" s="21">
        <f>M30*Rates!$B$16</f>
        <v/>
      </c>
      <c r="R30" s="22">
        <f>N30*Rates!$D$6+O30*Rates!$D$9+P30*Rates!$D$8+Q30*Rates!$D$7</f>
        <v/>
      </c>
    </row>
    <row r="31">
      <c r="A31" s="20" t="inlineStr">
        <is>
          <t>MVP</t>
        </is>
      </c>
      <c r="B31" s="17" t="inlineStr">
        <is>
          <t>C. Booking &amp; Allocation</t>
        </is>
      </c>
      <c r="C31" s="17" t="inlineStr">
        <is>
          <t>Multi-headcount booking</t>
        </is>
      </c>
      <c r="D31" s="17" t="inlineStr">
        <is>
          <t>Booking entity</t>
        </is>
      </c>
      <c r="E31" s="19" t="inlineStr">
        <is>
          <t>Accept -&gt; create Booking + allocation</t>
        </is>
      </c>
      <c r="F31" s="17" t="inlineStr">
        <is>
          <t>Business Logic</t>
        </is>
      </c>
      <c r="G31" s="17" t="n">
        <v>3</v>
      </c>
      <c r="H31" s="17" t="n">
        <v>0</v>
      </c>
      <c r="I31" s="17" t="n">
        <v>0</v>
      </c>
      <c r="J31" s="21">
        <f>SUM(G31:I31)</f>
        <v/>
      </c>
      <c r="K31" s="18">
        <f>VLOOKUP(F31,'AI Factors'!$A$3:$B$9,2,FALSE)</f>
        <v/>
      </c>
      <c r="L31" s="21">
        <f>J31*(1-K31)</f>
        <v/>
      </c>
      <c r="M31" s="21">
        <f>IF(L31=0,0,L31/Rates!$B$15*Rates!$B$21)</f>
        <v/>
      </c>
      <c r="N31" s="21">
        <f>M31*Rates!$B$15</f>
        <v/>
      </c>
      <c r="O31" s="21">
        <f>M31*Rates!$B$13</f>
        <v/>
      </c>
      <c r="P31" s="21">
        <f>M31*Rates!$B$14</f>
        <v/>
      </c>
      <c r="Q31" s="21">
        <f>M31*Rates!$B$16</f>
        <v/>
      </c>
      <c r="R31" s="22">
        <f>N31*Rates!$D$6+O31*Rates!$D$9+P31*Rates!$D$8+Q31*Rates!$D$7</f>
        <v/>
      </c>
    </row>
    <row r="32">
      <c r="A32" s="20" t="inlineStr">
        <is>
          <t>MVP</t>
        </is>
      </c>
      <c r="B32" s="17" t="inlineStr">
        <is>
          <t>C. Booking &amp; Allocation</t>
        </is>
      </c>
      <c r="C32" s="17" t="inlineStr">
        <is>
          <t>Multi-headcount booking</t>
        </is>
      </c>
      <c r="D32" s="17" t="inlineStr">
        <is>
          <t>Advert management</t>
        </is>
      </c>
      <c r="E32" s="19" t="inlineStr">
        <is>
          <t>Advert edit/update (API + admin)</t>
        </is>
      </c>
      <c r="F32" s="17" t="inlineStr">
        <is>
          <t>CRUD/Config</t>
        </is>
      </c>
      <c r="G32" s="17" t="n">
        <v>2</v>
      </c>
      <c r="H32" s="17" t="n">
        <v>0</v>
      </c>
      <c r="I32" s="17" t="n">
        <v>1</v>
      </c>
      <c r="J32" s="21">
        <f>SUM(G32:I32)</f>
        <v/>
      </c>
      <c r="K32" s="18">
        <f>VLOOKUP(F32,'AI Factors'!$A$3:$B$9,2,FALSE)</f>
        <v/>
      </c>
      <c r="L32" s="21">
        <f>J32*(1-K32)</f>
        <v/>
      </c>
      <c r="M32" s="21">
        <f>IF(L32=0,0,L32/Rates!$B$15*Rates!$B$21)</f>
        <v/>
      </c>
      <c r="N32" s="21">
        <f>M32*Rates!$B$15</f>
        <v/>
      </c>
      <c r="O32" s="21">
        <f>M32*Rates!$B$13</f>
        <v/>
      </c>
      <c r="P32" s="21">
        <f>M32*Rates!$B$14</f>
        <v/>
      </c>
      <c r="Q32" s="21">
        <f>M32*Rates!$B$16</f>
        <v/>
      </c>
      <c r="R32" s="22">
        <f>N32*Rates!$D$6+O32*Rates!$D$9+P32*Rates!$D$8+Q32*Rates!$D$7</f>
        <v/>
      </c>
    </row>
    <row r="33">
      <c r="A33" s="20" t="inlineStr">
        <is>
          <t>MVP</t>
        </is>
      </c>
      <c r="B33" s="17" t="inlineStr">
        <is>
          <t>C. Booking &amp; Allocation</t>
        </is>
      </c>
      <c r="C33" s="17" t="inlineStr">
        <is>
          <t>Multi-headcount booking</t>
        </is>
      </c>
      <c r="D33" s="17" t="inlineStr">
        <is>
          <t>Advert management</t>
        </is>
      </c>
      <c r="E33" s="19" t="inlineStr">
        <is>
          <t>Headcount N on advert (create/list UI)</t>
        </is>
      </c>
      <c r="F33" s="17" t="inlineStr">
        <is>
          <t>UI Standard</t>
        </is>
      </c>
      <c r="G33" s="17" t="n">
        <v>1</v>
      </c>
      <c r="H33" s="17" t="n">
        <v>2</v>
      </c>
      <c r="I33" s="17" t="n">
        <v>1</v>
      </c>
      <c r="J33" s="21">
        <f>SUM(G33:I33)</f>
        <v/>
      </c>
      <c r="K33" s="18">
        <f>VLOOKUP(F33,'AI Factors'!$A$3:$B$9,2,FALSE)</f>
        <v/>
      </c>
      <c r="L33" s="21">
        <f>J33*(1-K33)</f>
        <v/>
      </c>
      <c r="M33" s="21">
        <f>IF(L33=0,0,L33/Rates!$B$15*Rates!$B$21)</f>
        <v/>
      </c>
      <c r="N33" s="21">
        <f>M33*Rates!$B$15</f>
        <v/>
      </c>
      <c r="O33" s="21">
        <f>M33*Rates!$B$13</f>
        <v/>
      </c>
      <c r="P33" s="21">
        <f>M33*Rates!$B$14</f>
        <v/>
      </c>
      <c r="Q33" s="21">
        <f>M33*Rates!$B$16</f>
        <v/>
      </c>
      <c r="R33" s="22">
        <f>N33*Rates!$D$6+O33*Rates!$D$9+P33*Rates!$D$8+Q33*Rates!$D$7</f>
        <v/>
      </c>
    </row>
    <row r="34">
      <c r="A34" s="20" t="inlineStr">
        <is>
          <t>MVP</t>
        </is>
      </c>
      <c r="B34" s="17" t="inlineStr">
        <is>
          <t>C. Booking &amp; Allocation</t>
        </is>
      </c>
      <c r="C34" s="17" t="inlineStr">
        <is>
          <t>Multi-headcount booking</t>
        </is>
      </c>
      <c r="D34" s="17" t="inlineStr">
        <is>
          <t>Booking views</t>
        </is>
      </c>
      <c r="E34" s="19" t="inlineStr">
        <is>
          <t>Applicant booking views (per-person)</t>
        </is>
      </c>
      <c r="F34" s="17" t="inlineStr">
        <is>
          <t>UI Standard</t>
        </is>
      </c>
      <c r="G34" s="17" t="n">
        <v>0</v>
      </c>
      <c r="H34" s="17" t="n">
        <v>3</v>
      </c>
      <c r="I34" s="17" t="n">
        <v>0</v>
      </c>
      <c r="J34" s="21">
        <f>SUM(G34:I34)</f>
        <v/>
      </c>
      <c r="K34" s="18">
        <f>VLOOKUP(F34,'AI Factors'!$A$3:$B$9,2,FALSE)</f>
        <v/>
      </c>
      <c r="L34" s="21">
        <f>J34*(1-K34)</f>
        <v/>
      </c>
      <c r="M34" s="21">
        <f>IF(L34=0,0,L34/Rates!$B$15*Rates!$B$21)</f>
        <v/>
      </c>
      <c r="N34" s="21">
        <f>M34*Rates!$B$15</f>
        <v/>
      </c>
      <c r="O34" s="21">
        <f>M34*Rates!$B$13</f>
        <v/>
      </c>
      <c r="P34" s="21">
        <f>M34*Rates!$B$14</f>
        <v/>
      </c>
      <c r="Q34" s="21">
        <f>M34*Rates!$B$16</f>
        <v/>
      </c>
      <c r="R34" s="22">
        <f>N34*Rates!$D$6+O34*Rates!$D$9+P34*Rates!$D$8+Q34*Rates!$D$7</f>
        <v/>
      </c>
    </row>
    <row r="35">
      <c r="A35" s="20" t="inlineStr">
        <is>
          <t>MVP</t>
        </is>
      </c>
      <c r="B35" s="17" t="inlineStr">
        <is>
          <t>C. Booking &amp; Allocation</t>
        </is>
      </c>
      <c r="C35" s="17" t="inlineStr">
        <is>
          <t>Multi-headcount booking</t>
        </is>
      </c>
      <c r="D35" s="17" t="inlineStr">
        <is>
          <t>Booking views</t>
        </is>
      </c>
      <c r="E35" s="19" t="inlineStr">
        <is>
          <t>Advertiser booking / coverage views</t>
        </is>
      </c>
      <c r="F35" s="17" t="inlineStr">
        <is>
          <t>UI Standard</t>
        </is>
      </c>
      <c r="G35" s="17" t="n">
        <v>0</v>
      </c>
      <c r="H35" s="17" t="n">
        <v>2</v>
      </c>
      <c r="I35" s="17" t="n">
        <v>2</v>
      </c>
      <c r="J35" s="21">
        <f>SUM(G35:I35)</f>
        <v/>
      </c>
      <c r="K35" s="18">
        <f>VLOOKUP(F35,'AI Factors'!$A$3:$B$9,2,FALSE)</f>
        <v/>
      </c>
      <c r="L35" s="21">
        <f>J35*(1-K35)</f>
        <v/>
      </c>
      <c r="M35" s="21">
        <f>IF(L35=0,0,L35/Rates!$B$15*Rates!$B$21)</f>
        <v/>
      </c>
      <c r="N35" s="21">
        <f>M35*Rates!$B$15</f>
        <v/>
      </c>
      <c r="O35" s="21">
        <f>M35*Rates!$B$13</f>
        <v/>
      </c>
      <c r="P35" s="21">
        <f>M35*Rates!$B$14</f>
        <v/>
      </c>
      <c r="Q35" s="21">
        <f>M35*Rates!$B$16</f>
        <v/>
      </c>
      <c r="R35" s="22">
        <f>N35*Rates!$D$6+O35*Rates!$D$9+P35*Rates!$D$8+Q35*Rates!$D$7</f>
        <v/>
      </c>
    </row>
    <row r="36">
      <c r="A36" s="20" t="inlineStr">
        <is>
          <t>MVP</t>
        </is>
      </c>
      <c r="B36" s="17" t="inlineStr">
        <is>
          <t>D. Timesheet &amp; Billing Rewire</t>
        </is>
      </c>
      <c r="C36" s="17" t="inlineStr">
        <is>
          <t>Timesheet</t>
        </is>
      </c>
      <c r="D36" s="17" t="inlineStr">
        <is>
          <t>Capture</t>
        </is>
      </c>
      <c r="E36" s="19" t="inlineStr">
        <is>
          <t>Timesheet model + enum + migration</t>
        </is>
      </c>
      <c r="F36" s="17" t="inlineStr">
        <is>
          <t>Data/Migration</t>
        </is>
      </c>
      <c r="G36" s="17" t="n">
        <v>2</v>
      </c>
      <c r="H36" s="17" t="n">
        <v>0</v>
      </c>
      <c r="I36" s="17" t="n">
        <v>0</v>
      </c>
      <c r="J36" s="21">
        <f>SUM(G36:I36)</f>
        <v/>
      </c>
      <c r="K36" s="18">
        <f>VLOOKUP(F36,'AI Factors'!$A$3:$B$9,2,FALSE)</f>
        <v/>
      </c>
      <c r="L36" s="21">
        <f>J36*(1-K36)</f>
        <v/>
      </c>
      <c r="M36" s="21">
        <f>IF(L36=0,0,L36/Rates!$B$15*Rates!$B$21)</f>
        <v/>
      </c>
      <c r="N36" s="21">
        <f>M36*Rates!$B$15</f>
        <v/>
      </c>
      <c r="O36" s="21">
        <f>M36*Rates!$B$13</f>
        <v/>
      </c>
      <c r="P36" s="21">
        <f>M36*Rates!$B$14</f>
        <v/>
      </c>
      <c r="Q36" s="21">
        <f>M36*Rates!$B$16</f>
        <v/>
      </c>
      <c r="R36" s="22">
        <f>N36*Rates!$D$6+O36*Rates!$D$9+P36*Rates!$D$8+Q36*Rates!$D$7</f>
        <v/>
      </c>
    </row>
    <row r="37">
      <c r="A37" s="20" t="inlineStr">
        <is>
          <t>MVP</t>
        </is>
      </c>
      <c r="B37" s="17" t="inlineStr">
        <is>
          <t>D. Timesheet &amp; Billing Rewire</t>
        </is>
      </c>
      <c r="C37" s="17" t="inlineStr">
        <is>
          <t>Timesheet</t>
        </is>
      </c>
      <c r="D37" s="17" t="inlineStr">
        <is>
          <t>Capture</t>
        </is>
      </c>
      <c r="E37" s="19" t="inlineStr">
        <is>
          <t>SubmitTimesheet handler + API</t>
        </is>
      </c>
      <c r="F37" s="17" t="inlineStr">
        <is>
          <t>Business Logic</t>
        </is>
      </c>
      <c r="G37" s="17" t="n">
        <v>2</v>
      </c>
      <c r="H37" s="17" t="n">
        <v>0</v>
      </c>
      <c r="I37" s="17" t="n">
        <v>0</v>
      </c>
      <c r="J37" s="21">
        <f>SUM(G37:I37)</f>
        <v/>
      </c>
      <c r="K37" s="18">
        <f>VLOOKUP(F37,'AI Factors'!$A$3:$B$9,2,FALSE)</f>
        <v/>
      </c>
      <c r="L37" s="21">
        <f>J37*(1-K37)</f>
        <v/>
      </c>
      <c r="M37" s="21">
        <f>IF(L37=0,0,L37/Rates!$B$15*Rates!$B$21)</f>
        <v/>
      </c>
      <c r="N37" s="21">
        <f>M37*Rates!$B$15</f>
        <v/>
      </c>
      <c r="O37" s="21">
        <f>M37*Rates!$B$13</f>
        <v/>
      </c>
      <c r="P37" s="21">
        <f>M37*Rates!$B$14</f>
        <v/>
      </c>
      <c r="Q37" s="21">
        <f>M37*Rates!$B$16</f>
        <v/>
      </c>
      <c r="R37" s="22">
        <f>N37*Rates!$D$6+O37*Rates!$D$9+P37*Rates!$D$8+Q37*Rates!$D$7</f>
        <v/>
      </c>
    </row>
    <row r="38">
      <c r="A38" s="20" t="inlineStr">
        <is>
          <t>MVP</t>
        </is>
      </c>
      <c r="B38" s="17" t="inlineStr">
        <is>
          <t>D. Timesheet &amp; Billing Rewire</t>
        </is>
      </c>
      <c r="C38" s="17" t="inlineStr">
        <is>
          <t>Timesheet</t>
        </is>
      </c>
      <c r="D38" s="17" t="inlineStr">
        <is>
          <t>Capture</t>
        </is>
      </c>
      <c r="E38" s="19" t="inlineStr">
        <is>
          <t>Applicant submit timesheet UI</t>
        </is>
      </c>
      <c r="F38" s="17" t="inlineStr">
        <is>
          <t>UI Standard</t>
        </is>
      </c>
      <c r="G38" s="17" t="n">
        <v>0</v>
      </c>
      <c r="H38" s="17" t="n">
        <v>4</v>
      </c>
      <c r="I38" s="17" t="n">
        <v>0</v>
      </c>
      <c r="J38" s="21">
        <f>SUM(G38:I38)</f>
        <v/>
      </c>
      <c r="K38" s="18">
        <f>VLOOKUP(F38,'AI Factors'!$A$3:$B$9,2,FALSE)</f>
        <v/>
      </c>
      <c r="L38" s="21">
        <f>J38*(1-K38)</f>
        <v/>
      </c>
      <c r="M38" s="21">
        <f>IF(L38=0,0,L38/Rates!$B$15*Rates!$B$21)</f>
        <v/>
      </c>
      <c r="N38" s="21">
        <f>M38*Rates!$B$15</f>
        <v/>
      </c>
      <c r="O38" s="21">
        <f>M38*Rates!$B$13</f>
        <v/>
      </c>
      <c r="P38" s="21">
        <f>M38*Rates!$B$14</f>
        <v/>
      </c>
      <c r="Q38" s="21">
        <f>M38*Rates!$B$16</f>
        <v/>
      </c>
      <c r="R38" s="22">
        <f>N38*Rates!$D$6+O38*Rates!$D$9+P38*Rates!$D$8+Q38*Rates!$D$7</f>
        <v/>
      </c>
    </row>
    <row r="39">
      <c r="A39" s="20" t="inlineStr">
        <is>
          <t>MVP</t>
        </is>
      </c>
      <c r="B39" s="17" t="inlineStr">
        <is>
          <t>D. Timesheet &amp; Billing Rewire</t>
        </is>
      </c>
      <c r="C39" s="17" t="inlineStr">
        <is>
          <t>Timesheet</t>
        </is>
      </c>
      <c r="D39" s="17" t="inlineStr">
        <is>
          <t>Approval</t>
        </is>
      </c>
      <c r="E39" s="19" t="inlineStr">
        <is>
          <t>Approve/Dispute/Query handlers</t>
        </is>
      </c>
      <c r="F39" s="17" t="inlineStr">
        <is>
          <t>Business Logic</t>
        </is>
      </c>
      <c r="G39" s="17" t="n">
        <v>3</v>
      </c>
      <c r="H39" s="17" t="n">
        <v>0</v>
      </c>
      <c r="I39" s="17" t="n">
        <v>0</v>
      </c>
      <c r="J39" s="21">
        <f>SUM(G39:I39)</f>
        <v/>
      </c>
      <c r="K39" s="18">
        <f>VLOOKUP(F39,'AI Factors'!$A$3:$B$9,2,FALSE)</f>
        <v/>
      </c>
      <c r="L39" s="21">
        <f>J39*(1-K39)</f>
        <v/>
      </c>
      <c r="M39" s="21">
        <f>IF(L39=0,0,L39/Rates!$B$15*Rates!$B$21)</f>
        <v/>
      </c>
      <c r="N39" s="21">
        <f>M39*Rates!$B$15</f>
        <v/>
      </c>
      <c r="O39" s="21">
        <f>M39*Rates!$B$13</f>
        <v/>
      </c>
      <c r="P39" s="21">
        <f>M39*Rates!$B$14</f>
        <v/>
      </c>
      <c r="Q39" s="21">
        <f>M39*Rates!$B$16</f>
        <v/>
      </c>
      <c r="R39" s="22">
        <f>N39*Rates!$D$6+O39*Rates!$D$9+P39*Rates!$D$8+Q39*Rates!$D$7</f>
        <v/>
      </c>
    </row>
    <row r="40">
      <c r="A40" s="20" t="inlineStr">
        <is>
          <t>MVP</t>
        </is>
      </c>
      <c r="B40" s="17" t="inlineStr">
        <is>
          <t>D. Timesheet &amp; Billing Rewire</t>
        </is>
      </c>
      <c r="C40" s="17" t="inlineStr">
        <is>
          <t>Timesheet</t>
        </is>
      </c>
      <c r="D40" s="17" t="inlineStr">
        <is>
          <t>Approval</t>
        </is>
      </c>
      <c r="E40" s="19" t="inlineStr">
        <is>
          <t>Advertiser approve timesheet UI</t>
        </is>
      </c>
      <c r="F40" s="17" t="inlineStr">
        <is>
          <t>UI Standard</t>
        </is>
      </c>
      <c r="G40" s="17" t="n">
        <v>0</v>
      </c>
      <c r="H40" s="17" t="n">
        <v>3</v>
      </c>
      <c r="I40" s="17" t="n">
        <v>1</v>
      </c>
      <c r="J40" s="21">
        <f>SUM(G40:I40)</f>
        <v/>
      </c>
      <c r="K40" s="18">
        <f>VLOOKUP(F40,'AI Factors'!$A$3:$B$9,2,FALSE)</f>
        <v/>
      </c>
      <c r="L40" s="21">
        <f>J40*(1-K40)</f>
        <v/>
      </c>
      <c r="M40" s="21">
        <f>IF(L40=0,0,L40/Rates!$B$15*Rates!$B$21)</f>
        <v/>
      </c>
      <c r="N40" s="21">
        <f>M40*Rates!$B$15</f>
        <v/>
      </c>
      <c r="O40" s="21">
        <f>M40*Rates!$B$13</f>
        <v/>
      </c>
      <c r="P40" s="21">
        <f>M40*Rates!$B$14</f>
        <v/>
      </c>
      <c r="Q40" s="21">
        <f>M40*Rates!$B$16</f>
        <v/>
      </c>
      <c r="R40" s="22">
        <f>N40*Rates!$D$6+O40*Rates!$D$9+P40*Rates!$D$8+Q40*Rates!$D$7</f>
        <v/>
      </c>
    </row>
    <row r="41">
      <c r="A41" s="20" t="inlineStr">
        <is>
          <t>MVP</t>
        </is>
      </c>
      <c r="B41" s="17" t="inlineStr">
        <is>
          <t>D. Timesheet &amp; Billing Rewire</t>
        </is>
      </c>
      <c r="C41" s="17" t="inlineStr">
        <is>
          <t>Billing rewire</t>
        </is>
      </c>
      <c r="D41" s="17" t="inlineStr">
        <is>
          <t>Billing from actual hours</t>
        </is>
      </c>
      <c r="E41" s="19" t="inlineStr">
        <is>
          <t>Rewire charge/pay to approved hours</t>
        </is>
      </c>
      <c r="F41" s="17" t="inlineStr">
        <is>
          <t>Complex/Critical</t>
        </is>
      </c>
      <c r="G41" s="17" t="n">
        <v>4</v>
      </c>
      <c r="H41" s="17" t="n">
        <v>0</v>
      </c>
      <c r="I41" s="17" t="n">
        <v>0</v>
      </c>
      <c r="J41" s="21">
        <f>SUM(G41:I41)</f>
        <v/>
      </c>
      <c r="K41" s="18">
        <f>VLOOKUP(F41,'AI Factors'!$A$3:$B$9,2,FALSE)</f>
        <v/>
      </c>
      <c r="L41" s="21">
        <f>J41*(1-K41)</f>
        <v/>
      </c>
      <c r="M41" s="21">
        <f>IF(L41=0,0,L41/Rates!$B$15*Rates!$B$21)</f>
        <v/>
      </c>
      <c r="N41" s="21">
        <f>M41*Rates!$B$15</f>
        <v/>
      </c>
      <c r="O41" s="21">
        <f>M41*Rates!$B$13</f>
        <v/>
      </c>
      <c r="P41" s="21">
        <f>M41*Rates!$B$14</f>
        <v/>
      </c>
      <c r="Q41" s="21">
        <f>M41*Rates!$B$16</f>
        <v/>
      </c>
      <c r="R41" s="22">
        <f>N41*Rates!$D$6+O41*Rates!$D$9+P41*Rates!$D$8+Q41*Rates!$D$7</f>
        <v/>
      </c>
    </row>
    <row r="42">
      <c r="A42" s="20" t="inlineStr">
        <is>
          <t>MVP</t>
        </is>
      </c>
      <c r="B42" s="17" t="inlineStr">
        <is>
          <t>D. Timesheet &amp; Billing Rewire</t>
        </is>
      </c>
      <c r="C42" s="17" t="inlineStr">
        <is>
          <t>Billing rewire</t>
        </is>
      </c>
      <c r="D42" s="17" t="inlineStr">
        <is>
          <t>Billing from actual hours</t>
        </is>
      </c>
      <c r="E42" s="19" t="inlineStr">
        <is>
          <t>Trigger change (approved gate, not ends_at)</t>
        </is>
      </c>
      <c r="F42" s="17" t="inlineStr">
        <is>
          <t>Business Logic</t>
        </is>
      </c>
      <c r="G42" s="17" t="n">
        <v>2</v>
      </c>
      <c r="H42" s="17" t="n">
        <v>0</v>
      </c>
      <c r="I42" s="17" t="n">
        <v>0</v>
      </c>
      <c r="J42" s="21">
        <f>SUM(G42:I42)</f>
        <v/>
      </c>
      <c r="K42" s="18">
        <f>VLOOKUP(F42,'AI Factors'!$A$3:$B$9,2,FALSE)</f>
        <v/>
      </c>
      <c r="L42" s="21">
        <f>J42*(1-K42)</f>
        <v/>
      </c>
      <c r="M42" s="21">
        <f>IF(L42=0,0,L42/Rates!$B$15*Rates!$B$21)</f>
        <v/>
      </c>
      <c r="N42" s="21">
        <f>M42*Rates!$B$15</f>
        <v/>
      </c>
      <c r="O42" s="21">
        <f>M42*Rates!$B$13</f>
        <v/>
      </c>
      <c r="P42" s="21">
        <f>M42*Rates!$B$14</f>
        <v/>
      </c>
      <c r="Q42" s="21">
        <f>M42*Rates!$B$16</f>
        <v/>
      </c>
      <c r="R42" s="22">
        <f>N42*Rates!$D$6+O42*Rates!$D$9+P42*Rates!$D$8+Q42*Rates!$D$7</f>
        <v/>
      </c>
    </row>
    <row r="43">
      <c r="A43" s="20" t="inlineStr">
        <is>
          <t>MVP</t>
        </is>
      </c>
      <c r="B43" s="17" t="inlineStr">
        <is>
          <t>D. Timesheet &amp; Billing Rewire</t>
        </is>
      </c>
      <c r="C43" s="17" t="inlineStr">
        <is>
          <t>Billing rewire</t>
        </is>
      </c>
      <c r="D43" s="17" t="inlineStr">
        <is>
          <t>Billing from actual hours</t>
        </is>
      </c>
      <c r="E43" s="19" t="inlineStr">
        <is>
          <t>Payslip real (gross/net) generation</t>
        </is>
      </c>
      <c r="F43" s="17" t="inlineStr">
        <is>
          <t>Business Logic</t>
        </is>
      </c>
      <c r="G43" s="17" t="n">
        <v>2</v>
      </c>
      <c r="H43" s="17" t="n">
        <v>0</v>
      </c>
      <c r="I43" s="17" t="n">
        <v>0</v>
      </c>
      <c r="J43" s="21">
        <f>SUM(G43:I43)</f>
        <v/>
      </c>
      <c r="K43" s="18">
        <f>VLOOKUP(F43,'AI Factors'!$A$3:$B$9,2,FALSE)</f>
        <v/>
      </c>
      <c r="L43" s="21">
        <f>J43*(1-K43)</f>
        <v/>
      </c>
      <c r="M43" s="21">
        <f>IF(L43=0,0,L43/Rates!$B$15*Rates!$B$21)</f>
        <v/>
      </c>
      <c r="N43" s="21">
        <f>M43*Rates!$B$15</f>
        <v/>
      </c>
      <c r="O43" s="21">
        <f>M43*Rates!$B$13</f>
        <v/>
      </c>
      <c r="P43" s="21">
        <f>M43*Rates!$B$14</f>
        <v/>
      </c>
      <c r="Q43" s="21">
        <f>M43*Rates!$B$16</f>
        <v/>
      </c>
      <c r="R43" s="22">
        <f>N43*Rates!$D$6+O43*Rates!$D$9+P43*Rates!$D$8+Q43*Rates!$D$7</f>
        <v/>
      </c>
    </row>
    <row r="44">
      <c r="A44" s="20" t="inlineStr">
        <is>
          <t>MVP</t>
        </is>
      </c>
      <c r="B44" s="17" t="inlineStr">
        <is>
          <t>E. Availability &amp; Matching</t>
        </is>
      </c>
      <c r="C44" s="17" t="inlineStr">
        <is>
          <t>Availability</t>
        </is>
      </c>
      <c r="D44" s="17" t="inlineStr">
        <is>
          <t>Availability model</t>
        </is>
      </c>
      <c r="E44" s="19" t="inlineStr">
        <is>
          <t>Availability model + API</t>
        </is>
      </c>
      <c r="F44" s="17" t="inlineStr">
        <is>
          <t>CRUD/Config</t>
        </is>
      </c>
      <c r="G44" s="17" t="n">
        <v>2</v>
      </c>
      <c r="H44" s="17" t="n">
        <v>0</v>
      </c>
      <c r="I44" s="17" t="n">
        <v>0</v>
      </c>
      <c r="J44" s="21">
        <f>SUM(G44:I44)</f>
        <v/>
      </c>
      <c r="K44" s="18">
        <f>VLOOKUP(F44,'AI Factors'!$A$3:$B$9,2,FALSE)</f>
        <v/>
      </c>
      <c r="L44" s="21">
        <f>J44*(1-K44)</f>
        <v/>
      </c>
      <c r="M44" s="21">
        <f>IF(L44=0,0,L44/Rates!$B$15*Rates!$B$21)</f>
        <v/>
      </c>
      <c r="N44" s="21">
        <f>M44*Rates!$B$15</f>
        <v/>
      </c>
      <c r="O44" s="21">
        <f>M44*Rates!$B$13</f>
        <v/>
      </c>
      <c r="P44" s="21">
        <f>M44*Rates!$B$14</f>
        <v/>
      </c>
      <c r="Q44" s="21">
        <f>M44*Rates!$B$16</f>
        <v/>
      </c>
      <c r="R44" s="22">
        <f>N44*Rates!$D$6+O44*Rates!$D$9+P44*Rates!$D$8+Q44*Rates!$D$7</f>
        <v/>
      </c>
    </row>
    <row r="45">
      <c r="A45" s="20" t="inlineStr">
        <is>
          <t>MVP</t>
        </is>
      </c>
      <c r="B45" s="17" t="inlineStr">
        <is>
          <t>E. Availability &amp; Matching</t>
        </is>
      </c>
      <c r="C45" s="17" t="inlineStr">
        <is>
          <t>Availability</t>
        </is>
      </c>
      <c r="D45" s="17" t="inlineStr">
        <is>
          <t>Availability model</t>
        </is>
      </c>
      <c r="E45" s="19" t="inlineStr">
        <is>
          <t>Availability picker UI</t>
        </is>
      </c>
      <c r="F45" s="17" t="inlineStr">
        <is>
          <t>UI Standard</t>
        </is>
      </c>
      <c r="G45" s="17" t="n">
        <v>0</v>
      </c>
      <c r="H45" s="17" t="n">
        <v>4</v>
      </c>
      <c r="I45" s="17" t="n">
        <v>0</v>
      </c>
      <c r="J45" s="21">
        <f>SUM(G45:I45)</f>
        <v/>
      </c>
      <c r="K45" s="18">
        <f>VLOOKUP(F45,'AI Factors'!$A$3:$B$9,2,FALSE)</f>
        <v/>
      </c>
      <c r="L45" s="21">
        <f>J45*(1-K45)</f>
        <v/>
      </c>
      <c r="M45" s="21">
        <f>IF(L45=0,0,L45/Rates!$B$15*Rates!$B$21)</f>
        <v/>
      </c>
      <c r="N45" s="21">
        <f>M45*Rates!$B$15</f>
        <v/>
      </c>
      <c r="O45" s="21">
        <f>M45*Rates!$B$13</f>
        <v/>
      </c>
      <c r="P45" s="21">
        <f>M45*Rates!$B$14</f>
        <v/>
      </c>
      <c r="Q45" s="21">
        <f>M45*Rates!$B$16</f>
        <v/>
      </c>
      <c r="R45" s="22">
        <f>N45*Rates!$D$6+O45*Rates!$D$9+P45*Rates!$D$8+Q45*Rates!$D$7</f>
        <v/>
      </c>
    </row>
    <row r="46">
      <c r="A46" s="20" t="inlineStr">
        <is>
          <t>MVP</t>
        </is>
      </c>
      <c r="B46" s="17" t="inlineStr">
        <is>
          <t>E. Availability &amp; Matching</t>
        </is>
      </c>
      <c r="C46" s="17" t="inlineStr">
        <is>
          <t>Availability</t>
        </is>
      </c>
      <c r="D46" s="17" t="inlineStr">
        <is>
          <t>Availability model</t>
        </is>
      </c>
      <c r="E46" s="19" t="inlineStr">
        <is>
          <t>Double-booking guard</t>
        </is>
      </c>
      <c r="F46" s="17" t="inlineStr">
        <is>
          <t>Business Logic</t>
        </is>
      </c>
      <c r="G46" s="17" t="n">
        <v>2</v>
      </c>
      <c r="H46" s="17" t="n">
        <v>0</v>
      </c>
      <c r="I46" s="17" t="n">
        <v>0</v>
      </c>
      <c r="J46" s="21">
        <f>SUM(G46:I46)</f>
        <v/>
      </c>
      <c r="K46" s="18">
        <f>VLOOKUP(F46,'AI Factors'!$A$3:$B$9,2,FALSE)</f>
        <v/>
      </c>
      <c r="L46" s="21">
        <f>J46*(1-K46)</f>
        <v/>
      </c>
      <c r="M46" s="21">
        <f>IF(L46=0,0,L46/Rates!$B$15*Rates!$B$21)</f>
        <v/>
      </c>
      <c r="N46" s="21">
        <f>M46*Rates!$B$15</f>
        <v/>
      </c>
      <c r="O46" s="21">
        <f>M46*Rates!$B$13</f>
        <v/>
      </c>
      <c r="P46" s="21">
        <f>M46*Rates!$B$14</f>
        <v/>
      </c>
      <c r="Q46" s="21">
        <f>M46*Rates!$B$16</f>
        <v/>
      </c>
      <c r="R46" s="22">
        <f>N46*Rates!$D$6+O46*Rates!$D$9+P46*Rates!$D$8+Q46*Rates!$D$7</f>
        <v/>
      </c>
    </row>
    <row r="47">
      <c r="A47" s="20" t="inlineStr">
        <is>
          <t>MVP</t>
        </is>
      </c>
      <c r="B47" s="17" t="inlineStr">
        <is>
          <t>E. Availability &amp; Matching</t>
        </is>
      </c>
      <c r="C47" s="17" t="inlineStr">
        <is>
          <t>Matching</t>
        </is>
      </c>
      <c r="D47" s="17" t="inlineStr">
        <is>
          <t>Ranked suggestions</t>
        </is>
      </c>
      <c r="E47" s="19" t="inlineStr">
        <is>
          <t>Ranked scoring (compliant+avail+proximity)</t>
        </is>
      </c>
      <c r="F47" s="17" t="inlineStr">
        <is>
          <t>Complex/Critical</t>
        </is>
      </c>
      <c r="G47" s="17" t="n">
        <v>4</v>
      </c>
      <c r="H47" s="17" t="n">
        <v>0</v>
      </c>
      <c r="I47" s="17" t="n">
        <v>0</v>
      </c>
      <c r="J47" s="21">
        <f>SUM(G47:I47)</f>
        <v/>
      </c>
      <c r="K47" s="18">
        <f>VLOOKUP(F47,'AI Factors'!$A$3:$B$9,2,FALSE)</f>
        <v/>
      </c>
      <c r="L47" s="21">
        <f>J47*(1-K47)</f>
        <v/>
      </c>
      <c r="M47" s="21">
        <f>IF(L47=0,0,L47/Rates!$B$15*Rates!$B$21)</f>
        <v/>
      </c>
      <c r="N47" s="21">
        <f>M47*Rates!$B$15</f>
        <v/>
      </c>
      <c r="O47" s="21">
        <f>M47*Rates!$B$13</f>
        <v/>
      </c>
      <c r="P47" s="21">
        <f>M47*Rates!$B$14</f>
        <v/>
      </c>
      <c r="Q47" s="21">
        <f>M47*Rates!$B$16</f>
        <v/>
      </c>
      <c r="R47" s="22">
        <f>N47*Rates!$D$6+O47*Rates!$D$9+P47*Rates!$D$8+Q47*Rates!$D$7</f>
        <v/>
      </c>
    </row>
    <row r="48">
      <c r="A48" s="20" t="inlineStr">
        <is>
          <t>MVP</t>
        </is>
      </c>
      <c r="B48" s="17" t="inlineStr">
        <is>
          <t>E. Availability &amp; Matching</t>
        </is>
      </c>
      <c r="C48" s="17" t="inlineStr">
        <is>
          <t>Matching</t>
        </is>
      </c>
      <c r="D48" s="17" t="inlineStr">
        <is>
          <t>Ranked suggestions</t>
        </is>
      </c>
      <c r="E48" s="19" t="inlineStr">
        <is>
          <t>Suggested-candidates UI (advertiser)</t>
        </is>
      </c>
      <c r="F48" s="17" t="inlineStr">
        <is>
          <t>UI Standard</t>
        </is>
      </c>
      <c r="G48" s="17" t="n">
        <v>0</v>
      </c>
      <c r="H48" s="17" t="n">
        <v>3</v>
      </c>
      <c r="I48" s="17" t="n">
        <v>1</v>
      </c>
      <c r="J48" s="21">
        <f>SUM(G48:I48)</f>
        <v/>
      </c>
      <c r="K48" s="18">
        <f>VLOOKUP(F48,'AI Factors'!$A$3:$B$9,2,FALSE)</f>
        <v/>
      </c>
      <c r="L48" s="21">
        <f>J48*(1-K48)</f>
        <v/>
      </c>
      <c r="M48" s="21">
        <f>IF(L48=0,0,L48/Rates!$B$15*Rates!$B$21)</f>
        <v/>
      </c>
      <c r="N48" s="21">
        <f>M48*Rates!$B$15</f>
        <v/>
      </c>
      <c r="O48" s="21">
        <f>M48*Rates!$B$13</f>
        <v/>
      </c>
      <c r="P48" s="21">
        <f>M48*Rates!$B$14</f>
        <v/>
      </c>
      <c r="Q48" s="21">
        <f>M48*Rates!$B$16</f>
        <v/>
      </c>
      <c r="R48" s="22">
        <f>N48*Rates!$D$6+O48*Rates!$D$9+P48*Rates!$D$8+Q48*Rates!$D$7</f>
        <v/>
      </c>
    </row>
    <row r="49">
      <c r="A49" s="20" t="inlineStr">
        <is>
          <t>MVP</t>
        </is>
      </c>
      <c r="B49" s="17" t="inlineStr">
        <is>
          <t>F. Compliance (Yedi DBS/Safeguarding)</t>
        </is>
      </c>
      <c r="C49" s="17" t="inlineStr">
        <is>
          <t>Structured credentials</t>
        </is>
      </c>
      <c r="D49" s="17" t="inlineStr">
        <is>
          <t>Credential model</t>
        </is>
      </c>
      <c r="E49" s="19" t="inlineStr">
        <is>
          <t>compliance_credentials model+enum+migration</t>
        </is>
      </c>
      <c r="F49" s="17" t="inlineStr">
        <is>
          <t>Data/Migration</t>
        </is>
      </c>
      <c r="G49" s="17" t="n">
        <v>2</v>
      </c>
      <c r="H49" s="17" t="n">
        <v>0</v>
      </c>
      <c r="I49" s="17" t="n">
        <v>0</v>
      </c>
      <c r="J49" s="21">
        <f>SUM(G49:I49)</f>
        <v/>
      </c>
      <c r="K49" s="18">
        <f>VLOOKUP(F49,'AI Factors'!$A$3:$B$9,2,FALSE)</f>
        <v/>
      </c>
      <c r="L49" s="21">
        <f>J49*(1-K49)</f>
        <v/>
      </c>
      <c r="M49" s="21">
        <f>IF(L49=0,0,L49/Rates!$B$15*Rates!$B$21)</f>
        <v/>
      </c>
      <c r="N49" s="21">
        <f>M49*Rates!$B$15</f>
        <v/>
      </c>
      <c r="O49" s="21">
        <f>M49*Rates!$B$13</f>
        <v/>
      </c>
      <c r="P49" s="21">
        <f>M49*Rates!$B$14</f>
        <v/>
      </c>
      <c r="Q49" s="21">
        <f>M49*Rates!$B$16</f>
        <v/>
      </c>
      <c r="R49" s="22">
        <f>N49*Rates!$D$6+O49*Rates!$D$9+P49*Rates!$D$8+Q49*Rates!$D$7</f>
        <v/>
      </c>
    </row>
    <row r="50">
      <c r="A50" s="20" t="inlineStr">
        <is>
          <t>MVP</t>
        </is>
      </c>
      <c r="B50" s="17" t="inlineStr">
        <is>
          <t>F. Compliance (Yedi DBS/Safeguarding)</t>
        </is>
      </c>
      <c r="C50" s="17" t="inlineStr">
        <is>
          <t>Structured credentials</t>
        </is>
      </c>
      <c r="D50" s="17" t="inlineStr">
        <is>
          <t>Credential model</t>
        </is>
      </c>
      <c r="E50" s="19" t="inlineStr">
        <is>
          <t>Typed fields (DBS number/level/dates, QTS)</t>
        </is>
      </c>
      <c r="F50" s="17" t="inlineStr">
        <is>
          <t>Business Logic</t>
        </is>
      </c>
      <c r="G50" s="17" t="n">
        <v>2</v>
      </c>
      <c r="H50" s="17" t="n">
        <v>0</v>
      </c>
      <c r="I50" s="17" t="n">
        <v>0</v>
      </c>
      <c r="J50" s="21">
        <f>SUM(G50:I50)</f>
        <v/>
      </c>
      <c r="K50" s="18">
        <f>VLOOKUP(F50,'AI Factors'!$A$3:$B$9,2,FALSE)</f>
        <v/>
      </c>
      <c r="L50" s="21">
        <f>J50*(1-K50)</f>
        <v/>
      </c>
      <c r="M50" s="21">
        <f>IF(L50=0,0,L50/Rates!$B$15*Rates!$B$21)</f>
        <v/>
      </c>
      <c r="N50" s="21">
        <f>M50*Rates!$B$15</f>
        <v/>
      </c>
      <c r="O50" s="21">
        <f>M50*Rates!$B$13</f>
        <v/>
      </c>
      <c r="P50" s="21">
        <f>M50*Rates!$B$14</f>
        <v/>
      </c>
      <c r="Q50" s="21">
        <f>M50*Rates!$B$16</f>
        <v/>
      </c>
      <c r="R50" s="22">
        <f>N50*Rates!$D$6+O50*Rates!$D$9+P50*Rates!$D$8+Q50*Rates!$D$7</f>
        <v/>
      </c>
    </row>
    <row r="51">
      <c r="A51" s="20" t="inlineStr">
        <is>
          <t>MVP</t>
        </is>
      </c>
      <c r="B51" s="17" t="inlineStr">
        <is>
          <t>F. Compliance (Yedi DBS/Safeguarding)</t>
        </is>
      </c>
      <c r="C51" s="17" t="inlineStr">
        <is>
          <t>Structured credentials</t>
        </is>
      </c>
      <c r="D51" s="17" t="inlineStr">
        <is>
          <t>Credential model</t>
        </is>
      </c>
      <c r="E51" s="19" t="inlineStr">
        <is>
          <t>Expiry columns + admin entry (Filament)</t>
        </is>
      </c>
      <c r="F51" s="17" t="inlineStr">
        <is>
          <t>CRUD/Config</t>
        </is>
      </c>
      <c r="G51" s="17" t="n">
        <v>2</v>
      </c>
      <c r="H51" s="17" t="n">
        <v>0</v>
      </c>
      <c r="I51" s="17" t="n">
        <v>2</v>
      </c>
      <c r="J51" s="21">
        <f>SUM(G51:I51)</f>
        <v/>
      </c>
      <c r="K51" s="18">
        <f>VLOOKUP(F51,'AI Factors'!$A$3:$B$9,2,FALSE)</f>
        <v/>
      </c>
      <c r="L51" s="21">
        <f>J51*(1-K51)</f>
        <v/>
      </c>
      <c r="M51" s="21">
        <f>IF(L51=0,0,L51/Rates!$B$15*Rates!$B$21)</f>
        <v/>
      </c>
      <c r="N51" s="21">
        <f>M51*Rates!$B$15</f>
        <v/>
      </c>
      <c r="O51" s="21">
        <f>M51*Rates!$B$13</f>
        <v/>
      </c>
      <c r="P51" s="21">
        <f>M51*Rates!$B$14</f>
        <v/>
      </c>
      <c r="Q51" s="21">
        <f>M51*Rates!$B$16</f>
        <v/>
      </c>
      <c r="R51" s="22">
        <f>N51*Rates!$D$6+O51*Rates!$D$9+P51*Rates!$D$8+Q51*Rates!$D$7</f>
        <v/>
      </c>
    </row>
    <row r="52">
      <c r="A52" s="20" t="inlineStr">
        <is>
          <t>MVP</t>
        </is>
      </c>
      <c r="B52" s="17" t="inlineStr">
        <is>
          <t>F. Compliance (Yedi DBS/Safeguarding)</t>
        </is>
      </c>
      <c r="C52" s="17" t="inlineStr">
        <is>
          <t>Structured credentials</t>
        </is>
      </c>
      <c r="D52" s="17" t="inlineStr">
        <is>
          <t>Enforcement</t>
        </is>
      </c>
      <c r="E52" s="19" t="inlineStr">
        <is>
          <t>Auto-compute compliance status</t>
        </is>
      </c>
      <c r="F52" s="17" t="inlineStr">
        <is>
          <t>Business Logic</t>
        </is>
      </c>
      <c r="G52" s="17" t="n">
        <v>3</v>
      </c>
      <c r="H52" s="17" t="n">
        <v>0</v>
      </c>
      <c r="I52" s="17" t="n">
        <v>0</v>
      </c>
      <c r="J52" s="21">
        <f>SUM(G52:I52)</f>
        <v/>
      </c>
      <c r="K52" s="18">
        <f>VLOOKUP(F52,'AI Factors'!$A$3:$B$9,2,FALSE)</f>
        <v/>
      </c>
      <c r="L52" s="21">
        <f>J52*(1-K52)</f>
        <v/>
      </c>
      <c r="M52" s="21">
        <f>IF(L52=0,0,L52/Rates!$B$15*Rates!$B$21)</f>
        <v/>
      </c>
      <c r="N52" s="21">
        <f>M52*Rates!$B$15</f>
        <v/>
      </c>
      <c r="O52" s="21">
        <f>M52*Rates!$B$13</f>
        <v/>
      </c>
      <c r="P52" s="21">
        <f>M52*Rates!$B$14</f>
        <v/>
      </c>
      <c r="Q52" s="21">
        <f>M52*Rates!$B$16</f>
        <v/>
      </c>
      <c r="R52" s="22">
        <f>N52*Rates!$D$6+O52*Rates!$D$9+P52*Rates!$D$8+Q52*Rates!$D$7</f>
        <v/>
      </c>
    </row>
    <row r="53">
      <c r="A53" s="20" t="inlineStr">
        <is>
          <t>MVP</t>
        </is>
      </c>
      <c r="B53" s="17" t="inlineStr">
        <is>
          <t>F. Compliance (Yedi DBS/Safeguarding)</t>
        </is>
      </c>
      <c r="C53" s="17" t="inlineStr">
        <is>
          <t>Structured credentials</t>
        </is>
      </c>
      <c r="D53" s="17" t="inlineStr">
        <is>
          <t>Enforcement</t>
        </is>
      </c>
      <c r="E53" s="19" t="inlineStr">
        <is>
          <t>ExpireCredentials scheduled command</t>
        </is>
      </c>
      <c r="F53" s="17" t="inlineStr">
        <is>
          <t>Business Logic</t>
        </is>
      </c>
      <c r="G53" s="17" t="n">
        <v>1</v>
      </c>
      <c r="H53" s="17" t="n">
        <v>0</v>
      </c>
      <c r="I53" s="17" t="n">
        <v>0</v>
      </c>
      <c r="J53" s="21">
        <f>SUM(G53:I53)</f>
        <v/>
      </c>
      <c r="K53" s="18">
        <f>VLOOKUP(F53,'AI Factors'!$A$3:$B$9,2,FALSE)</f>
        <v/>
      </c>
      <c r="L53" s="21">
        <f>J53*(1-K53)</f>
        <v/>
      </c>
      <c r="M53" s="21">
        <f>IF(L53=0,0,L53/Rates!$B$15*Rates!$B$21)</f>
        <v/>
      </c>
      <c r="N53" s="21">
        <f>M53*Rates!$B$15</f>
        <v/>
      </c>
      <c r="O53" s="21">
        <f>M53*Rates!$B$13</f>
        <v/>
      </c>
      <c r="P53" s="21">
        <f>M53*Rates!$B$14</f>
        <v/>
      </c>
      <c r="Q53" s="21">
        <f>M53*Rates!$B$16</f>
        <v/>
      </c>
      <c r="R53" s="22">
        <f>N53*Rates!$D$6+O53*Rates!$D$9+P53*Rates!$D$8+Q53*Rates!$D$7</f>
        <v/>
      </c>
    </row>
    <row r="54">
      <c r="A54" s="20" t="inlineStr">
        <is>
          <t>MVP</t>
        </is>
      </c>
      <c r="B54" s="17" t="inlineStr">
        <is>
          <t>F. Compliance (Yedi DBS/Safeguarding)</t>
        </is>
      </c>
      <c r="C54" s="17" t="inlineStr">
        <is>
          <t>Structured credentials</t>
        </is>
      </c>
      <c r="D54" s="17" t="inlineStr">
        <is>
          <t>Enforcement</t>
        </is>
      </c>
      <c r="E54" s="19" t="inlineStr">
        <is>
          <t>Booking gate by expiry (AdvertPolicy)</t>
        </is>
      </c>
      <c r="F54" s="17" t="inlineStr">
        <is>
          <t>Business Logic</t>
        </is>
      </c>
      <c r="G54" s="17" t="n">
        <v>2</v>
      </c>
      <c r="H54" s="17" t="n">
        <v>0</v>
      </c>
      <c r="I54" s="17" t="n">
        <v>0</v>
      </c>
      <c r="J54" s="21">
        <f>SUM(G54:I54)</f>
        <v/>
      </c>
      <c r="K54" s="18">
        <f>VLOOKUP(F54,'AI Factors'!$A$3:$B$9,2,FALSE)</f>
        <v/>
      </c>
      <c r="L54" s="21">
        <f>J54*(1-K54)</f>
        <v/>
      </c>
      <c r="M54" s="21">
        <f>IF(L54=0,0,L54/Rates!$B$15*Rates!$B$21)</f>
        <v/>
      </c>
      <c r="N54" s="21">
        <f>M54*Rates!$B$15</f>
        <v/>
      </c>
      <c r="O54" s="21">
        <f>M54*Rates!$B$13</f>
        <v/>
      </c>
      <c r="P54" s="21">
        <f>M54*Rates!$B$14</f>
        <v/>
      </c>
      <c r="Q54" s="21">
        <f>M54*Rates!$B$16</f>
        <v/>
      </c>
      <c r="R54" s="22">
        <f>N54*Rates!$D$6+O54*Rates!$D$9+P54*Rates!$D$8+Q54*Rates!$D$7</f>
        <v/>
      </c>
    </row>
    <row r="55">
      <c r="A55" s="20" t="inlineStr">
        <is>
          <t>MVP</t>
        </is>
      </c>
      <c r="B55" s="17" t="inlineStr">
        <is>
          <t>F. Compliance (Yedi DBS/Safeguarding)</t>
        </is>
      </c>
      <c r="C55" s="17" t="inlineStr">
        <is>
          <t>Structured credentials</t>
        </is>
      </c>
      <c r="D55" s="17" t="inlineStr">
        <is>
          <t>Enforcement</t>
        </is>
      </c>
      <c r="E55" s="19" t="inlineStr">
        <is>
          <t>Compliance warnings UI (applicant)</t>
        </is>
      </c>
      <c r="F55" s="17" t="inlineStr">
        <is>
          <t>UI Standard</t>
        </is>
      </c>
      <c r="G55" s="17" t="n">
        <v>0</v>
      </c>
      <c r="H55" s="17" t="n">
        <v>2</v>
      </c>
      <c r="I55" s="17" t="n">
        <v>0</v>
      </c>
      <c r="J55" s="21">
        <f>SUM(G55:I55)</f>
        <v/>
      </c>
      <c r="K55" s="18">
        <f>VLOOKUP(F55,'AI Factors'!$A$3:$B$9,2,FALSE)</f>
        <v/>
      </c>
      <c r="L55" s="21">
        <f>J55*(1-K55)</f>
        <v/>
      </c>
      <c r="M55" s="21">
        <f>IF(L55=0,0,L55/Rates!$B$15*Rates!$B$21)</f>
        <v/>
      </c>
      <c r="N55" s="21">
        <f>M55*Rates!$B$15</f>
        <v/>
      </c>
      <c r="O55" s="21">
        <f>M55*Rates!$B$13</f>
        <v/>
      </c>
      <c r="P55" s="21">
        <f>M55*Rates!$B$14</f>
        <v/>
      </c>
      <c r="Q55" s="21">
        <f>M55*Rates!$B$16</f>
        <v/>
      </c>
      <c r="R55" s="22">
        <f>N55*Rates!$D$6+O55*Rates!$D$9+P55*Rates!$D$8+Q55*Rates!$D$7</f>
        <v/>
      </c>
    </row>
    <row r="56">
      <c r="A56" s="20" t="inlineStr">
        <is>
          <t>MVP</t>
        </is>
      </c>
      <c r="B56" s="17" t="inlineStr">
        <is>
          <t>G. Payroll (Umbrella)</t>
        </is>
      </c>
      <c r="C56" s="17" t="inlineStr">
        <is>
          <t>Umbrella integration</t>
        </is>
      </c>
      <c r="D56" s="17" t="inlineStr">
        <is>
          <t>Connector</t>
        </is>
      </c>
      <c r="E56" s="19" t="inlineStr">
        <is>
          <t>PayrollProvider connector (typed HTTP)</t>
        </is>
      </c>
      <c r="F56" s="17" t="inlineStr">
        <is>
          <t>Integration</t>
        </is>
      </c>
      <c r="G56" s="17" t="n">
        <v>4</v>
      </c>
      <c r="H56" s="17" t="n">
        <v>0</v>
      </c>
      <c r="I56" s="17" t="n">
        <v>0</v>
      </c>
      <c r="J56" s="21">
        <f>SUM(G56:I56)</f>
        <v/>
      </c>
      <c r="K56" s="18">
        <f>VLOOKUP(F56,'AI Factors'!$A$3:$B$9,2,FALSE)</f>
        <v/>
      </c>
      <c r="L56" s="21">
        <f>J56*(1-K56)</f>
        <v/>
      </c>
      <c r="M56" s="21">
        <f>IF(L56=0,0,L56/Rates!$B$15*Rates!$B$21)</f>
        <v/>
      </c>
      <c r="N56" s="21">
        <f>M56*Rates!$B$15</f>
        <v/>
      </c>
      <c r="O56" s="21">
        <f>M56*Rates!$B$13</f>
        <v/>
      </c>
      <c r="P56" s="21">
        <f>M56*Rates!$B$14</f>
        <v/>
      </c>
      <c r="Q56" s="21">
        <f>M56*Rates!$B$16</f>
        <v/>
      </c>
      <c r="R56" s="22">
        <f>N56*Rates!$D$6+O56*Rates!$D$9+P56*Rates!$D$8+Q56*Rates!$D$7</f>
        <v/>
      </c>
    </row>
    <row r="57">
      <c r="A57" s="20" t="inlineStr">
        <is>
          <t>MVP</t>
        </is>
      </c>
      <c r="B57" s="17" t="inlineStr">
        <is>
          <t>G. Payroll (Umbrella)</t>
        </is>
      </c>
      <c r="C57" s="17" t="inlineStr">
        <is>
          <t>Umbrella integration</t>
        </is>
      </c>
      <c r="D57" s="17" t="inlineStr">
        <is>
          <t>Connector</t>
        </is>
      </c>
      <c r="E57" s="19" t="inlineStr">
        <is>
          <t>Feed assignment data (hours/rate/dates)</t>
        </is>
      </c>
      <c r="F57" s="17" t="inlineStr">
        <is>
          <t>Integration</t>
        </is>
      </c>
      <c r="G57" s="17" t="n">
        <v>3</v>
      </c>
      <c r="H57" s="17" t="n">
        <v>0</v>
      </c>
      <c r="I57" s="17" t="n">
        <v>0</v>
      </c>
      <c r="J57" s="21">
        <f>SUM(G57:I57)</f>
        <v/>
      </c>
      <c r="K57" s="18">
        <f>VLOOKUP(F57,'AI Factors'!$A$3:$B$9,2,FALSE)</f>
        <v/>
      </c>
      <c r="L57" s="21">
        <f>J57*(1-K57)</f>
        <v/>
      </c>
      <c r="M57" s="21">
        <f>IF(L57=0,0,L57/Rates!$B$15*Rates!$B$21)</f>
        <v/>
      </c>
      <c r="N57" s="21">
        <f>M57*Rates!$B$15</f>
        <v/>
      </c>
      <c r="O57" s="21">
        <f>M57*Rates!$B$13</f>
        <v/>
      </c>
      <c r="P57" s="21">
        <f>M57*Rates!$B$14</f>
        <v/>
      </c>
      <c r="Q57" s="21">
        <f>M57*Rates!$B$16</f>
        <v/>
      </c>
      <c r="R57" s="22">
        <f>N57*Rates!$D$6+O57*Rates!$D$9+P57*Rates!$D$8+Q57*Rates!$D$7</f>
        <v/>
      </c>
    </row>
    <row r="58">
      <c r="A58" s="20" t="inlineStr">
        <is>
          <t>MVP</t>
        </is>
      </c>
      <c r="B58" s="17" t="inlineStr">
        <is>
          <t>G. Payroll (Umbrella)</t>
        </is>
      </c>
      <c r="C58" s="17" t="inlineStr">
        <is>
          <t>Umbrella integration</t>
        </is>
      </c>
      <c r="D58" s="17" t="inlineStr">
        <is>
          <t>Connector</t>
        </is>
      </c>
      <c r="E58" s="19" t="inlineStr">
        <is>
          <t>Payslip proxy + display</t>
        </is>
      </c>
      <c r="F58" s="17" t="inlineStr">
        <is>
          <t>Integration</t>
        </is>
      </c>
      <c r="G58" s="17" t="n">
        <v>2</v>
      </c>
      <c r="H58" s="17" t="n">
        <v>2</v>
      </c>
      <c r="I58" s="17" t="n">
        <v>0</v>
      </c>
      <c r="J58" s="21">
        <f>SUM(G58:I58)</f>
        <v/>
      </c>
      <c r="K58" s="18">
        <f>VLOOKUP(F58,'AI Factors'!$A$3:$B$9,2,FALSE)</f>
        <v/>
      </c>
      <c r="L58" s="21">
        <f>J58*(1-K58)</f>
        <v/>
      </c>
      <c r="M58" s="21">
        <f>IF(L58=0,0,L58/Rates!$B$15*Rates!$B$21)</f>
        <v/>
      </c>
      <c r="N58" s="21">
        <f>M58*Rates!$B$15</f>
        <v/>
      </c>
      <c r="O58" s="21">
        <f>M58*Rates!$B$13</f>
        <v/>
      </c>
      <c r="P58" s="21">
        <f>M58*Rates!$B$14</f>
        <v/>
      </c>
      <c r="Q58" s="21">
        <f>M58*Rates!$B$16</f>
        <v/>
      </c>
      <c r="R58" s="22">
        <f>N58*Rates!$D$6+O58*Rates!$D$9+P58*Rates!$D$8+Q58*Rates!$D$7</f>
        <v/>
      </c>
    </row>
    <row r="59">
      <c r="A59" s="20" t="inlineStr">
        <is>
          <t>MVP</t>
        </is>
      </c>
      <c r="B59" s="17" t="inlineStr">
        <is>
          <t>G. Payroll (Umbrella)</t>
        </is>
      </c>
      <c r="C59" s="17" t="inlineStr">
        <is>
          <t>Umbrella integration</t>
        </is>
      </c>
      <c r="D59" s="17" t="inlineStr">
        <is>
          <t>Compliance</t>
        </is>
      </c>
      <c r="E59" s="19" t="inlineStr">
        <is>
          <t>Worker umbrella onboarding handoff</t>
        </is>
      </c>
      <c r="F59" s="17" t="inlineStr">
        <is>
          <t>Integration</t>
        </is>
      </c>
      <c r="G59" s="17" t="n">
        <v>2</v>
      </c>
      <c r="H59" s="17" t="n">
        <v>2</v>
      </c>
      <c r="I59" s="17" t="n">
        <v>0</v>
      </c>
      <c r="J59" s="21">
        <f>SUM(G59:I59)</f>
        <v/>
      </c>
      <c r="K59" s="18">
        <f>VLOOKUP(F59,'AI Factors'!$A$3:$B$9,2,FALSE)</f>
        <v/>
      </c>
      <c r="L59" s="21">
        <f>J59*(1-K59)</f>
        <v/>
      </c>
      <c r="M59" s="21">
        <f>IF(L59=0,0,L59/Rates!$B$15*Rates!$B$21)</f>
        <v/>
      </c>
      <c r="N59" s="21">
        <f>M59*Rates!$B$15</f>
        <v/>
      </c>
      <c r="O59" s="21">
        <f>M59*Rates!$B$13</f>
        <v/>
      </c>
      <c r="P59" s="21">
        <f>M59*Rates!$B$14</f>
        <v/>
      </c>
      <c r="Q59" s="21">
        <f>M59*Rates!$B$16</f>
        <v/>
      </c>
      <c r="R59" s="22">
        <f>N59*Rates!$D$6+O59*Rates!$D$9+P59*Rates!$D$8+Q59*Rates!$D$7</f>
        <v/>
      </c>
    </row>
    <row r="60">
      <c r="A60" s="20" t="inlineStr">
        <is>
          <t>MVP</t>
        </is>
      </c>
      <c r="B60" s="17" t="inlineStr">
        <is>
          <t>G. Payroll (Umbrella)</t>
        </is>
      </c>
      <c r="C60" s="17" t="inlineStr">
        <is>
          <t>Umbrella integration</t>
        </is>
      </c>
      <c r="D60" s="17" t="inlineStr">
        <is>
          <t>Compliance</t>
        </is>
      </c>
      <c r="E60" s="19" t="inlineStr">
        <is>
          <t>AWR 12-week tracking</t>
        </is>
      </c>
      <c r="F60" s="17" t="inlineStr">
        <is>
          <t>Business Logic</t>
        </is>
      </c>
      <c r="G60" s="17" t="n">
        <v>2</v>
      </c>
      <c r="H60" s="17" t="n">
        <v>0</v>
      </c>
      <c r="I60" s="17" t="n">
        <v>0</v>
      </c>
      <c r="J60" s="21">
        <f>SUM(G60:I60)</f>
        <v/>
      </c>
      <c r="K60" s="18">
        <f>VLOOKUP(F60,'AI Factors'!$A$3:$B$9,2,FALSE)</f>
        <v/>
      </c>
      <c r="L60" s="21">
        <f>J60*(1-K60)</f>
        <v/>
      </c>
      <c r="M60" s="21">
        <f>IF(L60=0,0,L60/Rates!$B$15*Rates!$B$21)</f>
        <v/>
      </c>
      <c r="N60" s="21">
        <f>M60*Rates!$B$15</f>
        <v/>
      </c>
      <c r="O60" s="21">
        <f>M60*Rates!$B$13</f>
        <v/>
      </c>
      <c r="P60" s="21">
        <f>M60*Rates!$B$14</f>
        <v/>
      </c>
      <c r="Q60" s="21">
        <f>M60*Rates!$B$16</f>
        <v/>
      </c>
      <c r="R60" s="22">
        <f>N60*Rates!$D$6+O60*Rates!$D$9+P60*Rates!$D$8+Q60*Rates!$D$7</f>
        <v/>
      </c>
    </row>
    <row r="61">
      <c r="A61" s="20" t="inlineStr">
        <is>
          <t>MVP</t>
        </is>
      </c>
      <c r="B61" s="17" t="inlineStr">
        <is>
          <t>H. Reporting &amp; Brand-Policy</t>
        </is>
      </c>
      <c r="C61" s="17" t="inlineStr">
        <is>
          <t>Reporting</t>
        </is>
      </c>
      <c r="D61" s="17" t="inlineStr">
        <is>
          <t>Reports</t>
        </is>
      </c>
      <c r="E61" s="19" t="inlineStr">
        <is>
          <t>Export API (CSV)</t>
        </is>
      </c>
      <c r="F61" s="17" t="inlineStr">
        <is>
          <t>Business Logic</t>
        </is>
      </c>
      <c r="G61" s="17" t="n">
        <v>2</v>
      </c>
      <c r="H61" s="17" t="n">
        <v>0</v>
      </c>
      <c r="I61" s="17" t="n">
        <v>1</v>
      </c>
      <c r="J61" s="21">
        <f>SUM(G61:I61)</f>
        <v/>
      </c>
      <c r="K61" s="18">
        <f>VLOOKUP(F61,'AI Factors'!$A$3:$B$9,2,FALSE)</f>
        <v/>
      </c>
      <c r="L61" s="21">
        <f>J61*(1-K61)</f>
        <v/>
      </c>
      <c r="M61" s="21">
        <f>IF(L61=0,0,L61/Rates!$B$15*Rates!$B$21)</f>
        <v/>
      </c>
      <c r="N61" s="21">
        <f>M61*Rates!$B$15</f>
        <v/>
      </c>
      <c r="O61" s="21">
        <f>M61*Rates!$B$13</f>
        <v/>
      </c>
      <c r="P61" s="21">
        <f>M61*Rates!$B$14</f>
        <v/>
      </c>
      <c r="Q61" s="21">
        <f>M61*Rates!$B$16</f>
        <v/>
      </c>
      <c r="R61" s="22">
        <f>N61*Rates!$D$6+O61*Rates!$D$9+P61*Rates!$D$8+Q61*Rates!$D$7</f>
        <v/>
      </c>
    </row>
    <row r="62">
      <c r="A62" s="20" t="inlineStr">
        <is>
          <t>MVP</t>
        </is>
      </c>
      <c r="B62" s="17" t="inlineStr">
        <is>
          <t>H. Reporting &amp; Brand-Policy</t>
        </is>
      </c>
      <c r="C62" s="17" t="inlineStr">
        <is>
          <t>Reporting</t>
        </is>
      </c>
      <c r="D62" s="17" t="inlineStr">
        <is>
          <t>Reports</t>
        </is>
      </c>
      <c r="E62" s="19" t="inlineStr">
        <is>
          <t>Client dashboard (fill-rate/spend/cover)</t>
        </is>
      </c>
      <c r="F62" s="17" t="inlineStr">
        <is>
          <t>UI Standard</t>
        </is>
      </c>
      <c r="G62" s="17" t="n">
        <v>2</v>
      </c>
      <c r="H62" s="17" t="n">
        <v>0</v>
      </c>
      <c r="I62" s="17" t="n">
        <v>4</v>
      </c>
      <c r="J62" s="21">
        <f>SUM(G62:I62)</f>
        <v/>
      </c>
      <c r="K62" s="18">
        <f>VLOOKUP(F62,'AI Factors'!$A$3:$B$9,2,FALSE)</f>
        <v/>
      </c>
      <c r="L62" s="21">
        <f>J62*(1-K62)</f>
        <v/>
      </c>
      <c r="M62" s="21">
        <f>IF(L62=0,0,L62/Rates!$B$15*Rates!$B$21)</f>
        <v/>
      </c>
      <c r="N62" s="21">
        <f>M62*Rates!$B$15</f>
        <v/>
      </c>
      <c r="O62" s="21">
        <f>M62*Rates!$B$13</f>
        <v/>
      </c>
      <c r="P62" s="21">
        <f>M62*Rates!$B$14</f>
        <v/>
      </c>
      <c r="Q62" s="21">
        <f>M62*Rates!$B$16</f>
        <v/>
      </c>
      <c r="R62" s="22">
        <f>N62*Rates!$D$6+O62*Rates!$D$9+P62*Rates!$D$8+Q62*Rates!$D$7</f>
        <v/>
      </c>
    </row>
    <row r="63">
      <c r="A63" s="20" t="inlineStr">
        <is>
          <t>MVP</t>
        </is>
      </c>
      <c r="B63" s="17" t="inlineStr">
        <is>
          <t>H. Reporting &amp; Brand-Policy</t>
        </is>
      </c>
      <c r="C63" s="17" t="inlineStr">
        <is>
          <t>Reporting</t>
        </is>
      </c>
      <c r="D63" s="17" t="inlineStr">
        <is>
          <t>Reports</t>
        </is>
      </c>
      <c r="E63" s="19" t="inlineStr">
        <is>
          <t>Admin report widgets</t>
        </is>
      </c>
      <c r="F63" s="17" t="inlineStr">
        <is>
          <t>UI Standard</t>
        </is>
      </c>
      <c r="G63" s="17" t="n">
        <v>0</v>
      </c>
      <c r="H63" s="17" t="n">
        <v>0</v>
      </c>
      <c r="I63" s="17" t="n">
        <v>2</v>
      </c>
      <c r="J63" s="21">
        <f>SUM(G63:I63)</f>
        <v/>
      </c>
      <c r="K63" s="18">
        <f>VLOOKUP(F63,'AI Factors'!$A$3:$B$9,2,FALSE)</f>
        <v/>
      </c>
      <c r="L63" s="21">
        <f>J63*(1-K63)</f>
        <v/>
      </c>
      <c r="M63" s="21">
        <f>IF(L63=0,0,L63/Rates!$B$15*Rates!$B$21)</f>
        <v/>
      </c>
      <c r="N63" s="21">
        <f>M63*Rates!$B$15</f>
        <v/>
      </c>
      <c r="O63" s="21">
        <f>M63*Rates!$B$13</f>
        <v/>
      </c>
      <c r="P63" s="21">
        <f>M63*Rates!$B$14</f>
        <v/>
      </c>
      <c r="Q63" s="21">
        <f>M63*Rates!$B$16</f>
        <v/>
      </c>
      <c r="R63" s="22">
        <f>N63*Rates!$D$6+O63*Rates!$D$9+P63*Rates!$D$8+Q63*Rates!$D$7</f>
        <v/>
      </c>
    </row>
    <row r="64">
      <c r="A64" s="20" t="inlineStr">
        <is>
          <t>MVP</t>
        </is>
      </c>
      <c r="B64" s="17" t="inlineStr">
        <is>
          <t>H. Reporting &amp; Brand-Policy</t>
        </is>
      </c>
      <c r="C64" s="17" t="inlineStr">
        <is>
          <t>Brand-policy &amp; multi-tenant</t>
        </is>
      </c>
      <c r="D64" s="17" t="inlineStr">
        <is>
          <t>Policy layer</t>
        </is>
      </c>
      <c r="E64" s="19" t="inlineStr">
        <is>
          <t>Brand-policy DB layer (Settings ext)</t>
        </is>
      </c>
      <c r="F64" s="17" t="inlineStr">
        <is>
          <t>Business Logic</t>
        </is>
      </c>
      <c r="G64" s="17" t="n">
        <v>3</v>
      </c>
      <c r="H64" s="17" t="n">
        <v>0</v>
      </c>
      <c r="I64" s="17" t="n">
        <v>0</v>
      </c>
      <c r="J64" s="21">
        <f>SUM(G64:I64)</f>
        <v/>
      </c>
      <c r="K64" s="18">
        <f>VLOOKUP(F64,'AI Factors'!$A$3:$B$9,2,FALSE)</f>
        <v/>
      </c>
      <c r="L64" s="21">
        <f>J64*(1-K64)</f>
        <v/>
      </c>
      <c r="M64" s="21">
        <f>IF(L64=0,0,L64/Rates!$B$15*Rates!$B$21)</f>
        <v/>
      </c>
      <c r="N64" s="21">
        <f>M64*Rates!$B$15</f>
        <v/>
      </c>
      <c r="O64" s="21">
        <f>M64*Rates!$B$13</f>
        <v/>
      </c>
      <c r="P64" s="21">
        <f>M64*Rates!$B$14</f>
        <v/>
      </c>
      <c r="Q64" s="21">
        <f>M64*Rates!$B$16</f>
        <v/>
      </c>
      <c r="R64" s="22">
        <f>N64*Rates!$D$6+O64*Rates!$D$9+P64*Rates!$D$8+Q64*Rates!$D$7</f>
        <v/>
      </c>
    </row>
    <row r="65">
      <c r="A65" s="20" t="inlineStr">
        <is>
          <t>MVP</t>
        </is>
      </c>
      <c r="B65" s="17" t="inlineStr">
        <is>
          <t>H. Reporting &amp; Brand-Policy</t>
        </is>
      </c>
      <c r="C65" s="17" t="inlineStr">
        <is>
          <t>Brand-policy &amp; multi-tenant</t>
        </is>
      </c>
      <c r="D65" s="17" t="inlineStr">
        <is>
          <t>Policy layer</t>
        </is>
      </c>
      <c r="E65" s="19" t="inlineStr">
        <is>
          <t>Config resolver (compliance/payroll/matching)</t>
        </is>
      </c>
      <c r="F65" s="17" t="inlineStr">
        <is>
          <t>Business Logic</t>
        </is>
      </c>
      <c r="G65" s="17" t="n">
        <v>2</v>
      </c>
      <c r="H65" s="17" t="n">
        <v>0</v>
      </c>
      <c r="I65" s="17" t="n">
        <v>0</v>
      </c>
      <c r="J65" s="21">
        <f>SUM(G65:I65)</f>
        <v/>
      </c>
      <c r="K65" s="18">
        <f>VLOOKUP(F65,'AI Factors'!$A$3:$B$9,2,FALSE)</f>
        <v/>
      </c>
      <c r="L65" s="21">
        <f>J65*(1-K65)</f>
        <v/>
      </c>
      <c r="M65" s="21">
        <f>IF(L65=0,0,L65/Rates!$B$15*Rates!$B$21)</f>
        <v/>
      </c>
      <c r="N65" s="21">
        <f>M65*Rates!$B$15</f>
        <v/>
      </c>
      <c r="O65" s="21">
        <f>M65*Rates!$B$13</f>
        <v/>
      </c>
      <c r="P65" s="21">
        <f>M65*Rates!$B$14</f>
        <v/>
      </c>
      <c r="Q65" s="21">
        <f>M65*Rates!$B$16</f>
        <v/>
      </c>
      <c r="R65" s="22">
        <f>N65*Rates!$D$6+O65*Rates!$D$9+P65*Rates!$D$8+Q65*Rates!$D$7</f>
        <v/>
      </c>
    </row>
    <row r="66">
      <c r="A66" s="20" t="inlineStr">
        <is>
          <t>MVP</t>
        </is>
      </c>
      <c r="B66" s="17" t="inlineStr">
        <is>
          <t>I. Cross-Cutting UX &amp; Platform</t>
        </is>
      </c>
      <c r="C66" s="17" t="inlineStr">
        <is>
          <t>UX completeness</t>
        </is>
      </c>
      <c r="D66" s="17" t="inlineStr">
        <is>
          <t>States &amp; search</t>
        </is>
      </c>
      <c r="E66" s="19" t="inlineStr">
        <is>
          <t>Search &amp; filter (adverts/candidates)</t>
        </is>
      </c>
      <c r="F66" s="17" t="inlineStr">
        <is>
          <t>Business Logic</t>
        </is>
      </c>
      <c r="G66" s="17" t="n">
        <v>2</v>
      </c>
      <c r="H66" s="17" t="n">
        <v>3</v>
      </c>
      <c r="I66" s="17" t="n">
        <v>1</v>
      </c>
      <c r="J66" s="21">
        <f>SUM(G66:I66)</f>
        <v/>
      </c>
      <c r="K66" s="18">
        <f>VLOOKUP(F66,'AI Factors'!$A$3:$B$9,2,FALSE)</f>
        <v/>
      </c>
      <c r="L66" s="21">
        <f>J66*(1-K66)</f>
        <v/>
      </c>
      <c r="M66" s="21">
        <f>IF(L66=0,0,L66/Rates!$B$15*Rates!$B$21)</f>
        <v/>
      </c>
      <c r="N66" s="21">
        <f>M66*Rates!$B$15</f>
        <v/>
      </c>
      <c r="O66" s="21">
        <f>M66*Rates!$B$13</f>
        <v/>
      </c>
      <c r="P66" s="21">
        <f>M66*Rates!$B$14</f>
        <v/>
      </c>
      <c r="Q66" s="21">
        <f>M66*Rates!$B$16</f>
        <v/>
      </c>
      <c r="R66" s="22">
        <f>N66*Rates!$D$6+O66*Rates!$D$9+P66*Rates!$D$8+Q66*Rates!$D$7</f>
        <v/>
      </c>
    </row>
    <row r="67">
      <c r="A67" s="20" t="inlineStr">
        <is>
          <t>MVP</t>
        </is>
      </c>
      <c r="B67" s="17" t="inlineStr">
        <is>
          <t>I. Cross-Cutting UX &amp; Platform</t>
        </is>
      </c>
      <c r="C67" s="17" t="inlineStr">
        <is>
          <t>UX completeness</t>
        </is>
      </c>
      <c r="D67" s="17" t="inlineStr">
        <is>
          <t>States &amp; search</t>
        </is>
      </c>
      <c r="E67" s="19" t="inlineStr">
        <is>
          <t>Empty / error / loading states (all screens)</t>
        </is>
      </c>
      <c r="F67" s="17" t="inlineStr">
        <is>
          <t>UI Standard</t>
        </is>
      </c>
      <c r="G67" s="17" t="n">
        <v>0</v>
      </c>
      <c r="H67" s="17" t="n">
        <v>4</v>
      </c>
      <c r="I67" s="17" t="n">
        <v>1</v>
      </c>
      <c r="J67" s="21">
        <f>SUM(G67:I67)</f>
        <v/>
      </c>
      <c r="K67" s="18">
        <f>VLOOKUP(F67,'AI Factors'!$A$3:$B$9,2,FALSE)</f>
        <v/>
      </c>
      <c r="L67" s="21">
        <f>J67*(1-K67)</f>
        <v/>
      </c>
      <c r="M67" s="21">
        <f>IF(L67=0,0,L67/Rates!$B$15*Rates!$B$21)</f>
        <v/>
      </c>
      <c r="N67" s="21">
        <f>M67*Rates!$B$15</f>
        <v/>
      </c>
      <c r="O67" s="21">
        <f>M67*Rates!$B$13</f>
        <v/>
      </c>
      <c r="P67" s="21">
        <f>M67*Rates!$B$14</f>
        <v/>
      </c>
      <c r="Q67" s="21">
        <f>M67*Rates!$B$16</f>
        <v/>
      </c>
      <c r="R67" s="22">
        <f>N67*Rates!$D$6+O67*Rates!$D$9+P67*Rates!$D$8+Q67*Rates!$D$7</f>
        <v/>
      </c>
    </row>
    <row r="68">
      <c r="A68" s="20" t="inlineStr">
        <is>
          <t>MVP</t>
        </is>
      </c>
      <c r="B68" s="17" t="inlineStr">
        <is>
          <t>I. Cross-Cutting UX &amp; Platform</t>
        </is>
      </c>
      <c r="C68" s="17" t="inlineStr">
        <is>
          <t>UX completeness</t>
        </is>
      </c>
      <c r="D68" s="17" t="inlineStr">
        <is>
          <t>States &amp; search</t>
        </is>
      </c>
      <c r="E68" s="19" t="inlineStr">
        <is>
          <t>Onboarding / first-run / tutorials</t>
        </is>
      </c>
      <c r="F68" s="17" t="inlineStr">
        <is>
          <t>UI Standard</t>
        </is>
      </c>
      <c r="G68" s="17" t="n">
        <v>0</v>
      </c>
      <c r="H68" s="17" t="n">
        <v>3</v>
      </c>
      <c r="I68" s="17" t="n">
        <v>0</v>
      </c>
      <c r="J68" s="21">
        <f>SUM(G68:I68)</f>
        <v/>
      </c>
      <c r="K68" s="18">
        <f>VLOOKUP(F68,'AI Factors'!$A$3:$B$9,2,FALSE)</f>
        <v/>
      </c>
      <c r="L68" s="21">
        <f>J68*(1-K68)</f>
        <v/>
      </c>
      <c r="M68" s="21">
        <f>IF(L68=0,0,L68/Rates!$B$15*Rates!$B$21)</f>
        <v/>
      </c>
      <c r="N68" s="21">
        <f>M68*Rates!$B$15</f>
        <v/>
      </c>
      <c r="O68" s="21">
        <f>M68*Rates!$B$13</f>
        <v/>
      </c>
      <c r="P68" s="21">
        <f>M68*Rates!$B$14</f>
        <v/>
      </c>
      <c r="Q68" s="21">
        <f>M68*Rates!$B$16</f>
        <v/>
      </c>
      <c r="R68" s="22">
        <f>N68*Rates!$D$6+O68*Rates!$D$9+P68*Rates!$D$8+Q68*Rates!$D$7</f>
        <v/>
      </c>
    </row>
    <row r="69">
      <c r="A69" s="20" t="inlineStr">
        <is>
          <t>MVP</t>
        </is>
      </c>
      <c r="B69" s="17" t="inlineStr">
        <is>
          <t>I. Cross-Cutting UX &amp; Platform</t>
        </is>
      </c>
      <c r="C69" s="17" t="inlineStr">
        <is>
          <t>UX completeness</t>
        </is>
      </c>
      <c r="D69" s="17" t="inlineStr">
        <is>
          <t>States &amp; search</t>
        </is>
      </c>
      <c r="E69" s="19" t="inlineStr">
        <is>
          <t>Notification preferences / opt-out</t>
        </is>
      </c>
      <c r="F69" s="17" t="inlineStr">
        <is>
          <t>CRUD/Config</t>
        </is>
      </c>
      <c r="G69" s="17" t="n">
        <v>1</v>
      </c>
      <c r="H69" s="17" t="n">
        <v>2</v>
      </c>
      <c r="I69" s="17" t="n">
        <v>0</v>
      </c>
      <c r="J69" s="21">
        <f>SUM(G69:I69)</f>
        <v/>
      </c>
      <c r="K69" s="18">
        <f>VLOOKUP(F69,'AI Factors'!$A$3:$B$9,2,FALSE)</f>
        <v/>
      </c>
      <c r="L69" s="21">
        <f>J69*(1-K69)</f>
        <v/>
      </c>
      <c r="M69" s="21">
        <f>IF(L69=0,0,L69/Rates!$B$15*Rates!$B$21)</f>
        <v/>
      </c>
      <c r="N69" s="21">
        <f>M69*Rates!$B$15</f>
        <v/>
      </c>
      <c r="O69" s="21">
        <f>M69*Rates!$B$13</f>
        <v/>
      </c>
      <c r="P69" s="21">
        <f>M69*Rates!$B$14</f>
        <v/>
      </c>
      <c r="Q69" s="21">
        <f>M69*Rates!$B$16</f>
        <v/>
      </c>
      <c r="R69" s="22">
        <f>N69*Rates!$D$6+O69*Rates!$D$9+P69*Rates!$D$8+Q69*Rates!$D$7</f>
        <v/>
      </c>
    </row>
    <row r="70">
      <c r="A70" s="20" t="inlineStr">
        <is>
          <t>MVP</t>
        </is>
      </c>
      <c r="B70" s="17" t="inlineStr">
        <is>
          <t>I. Cross-Cutting UX &amp; Platform</t>
        </is>
      </c>
      <c r="C70" s="17" t="inlineStr">
        <is>
          <t>UX completeness</t>
        </is>
      </c>
      <c r="D70" s="17" t="inlineStr">
        <is>
          <t>States &amp; search</t>
        </is>
      </c>
      <c r="E70" s="19" t="inlineStr">
        <is>
          <t>Pagination / infinite scroll</t>
        </is>
      </c>
      <c r="F70" s="17" t="inlineStr">
        <is>
          <t>UI Standard</t>
        </is>
      </c>
      <c r="G70" s="17" t="n">
        <v>1</v>
      </c>
      <c r="H70" s="17" t="n">
        <v>2</v>
      </c>
      <c r="I70" s="17" t="n">
        <v>0</v>
      </c>
      <c r="J70" s="21">
        <f>SUM(G70:I70)</f>
        <v/>
      </c>
      <c r="K70" s="18">
        <f>VLOOKUP(F70,'AI Factors'!$A$3:$B$9,2,FALSE)</f>
        <v/>
      </c>
      <c r="L70" s="21">
        <f>J70*(1-K70)</f>
        <v/>
      </c>
      <c r="M70" s="21">
        <f>IF(L70=0,0,L70/Rates!$B$15*Rates!$B$21)</f>
        <v/>
      </c>
      <c r="N70" s="21">
        <f>M70*Rates!$B$15</f>
        <v/>
      </c>
      <c r="O70" s="21">
        <f>M70*Rates!$B$13</f>
        <v/>
      </c>
      <c r="P70" s="21">
        <f>M70*Rates!$B$14</f>
        <v/>
      </c>
      <c r="Q70" s="21">
        <f>M70*Rates!$B$16</f>
        <v/>
      </c>
      <c r="R70" s="22">
        <f>N70*Rates!$D$6+O70*Rates!$D$9+P70*Rates!$D$8+Q70*Rates!$D$7</f>
        <v/>
      </c>
    </row>
    <row r="71">
      <c r="A71" s="20" t="inlineStr">
        <is>
          <t>MVP</t>
        </is>
      </c>
      <c r="B71" s="17" t="inlineStr">
        <is>
          <t>I. Cross-Cutting UX &amp; Platform</t>
        </is>
      </c>
      <c r="C71" s="17" t="inlineStr">
        <is>
          <t>UX completeness</t>
        </is>
      </c>
      <c r="D71" s="17" t="inlineStr">
        <is>
          <t>States &amp; search</t>
        </is>
      </c>
      <c r="E71" s="19" t="inlineStr">
        <is>
          <t>Offline handling + connectivity</t>
        </is>
      </c>
      <c r="F71" s="17" t="inlineStr">
        <is>
          <t>Business Logic</t>
        </is>
      </c>
      <c r="G71" s="17" t="n">
        <v>0</v>
      </c>
      <c r="H71" s="17" t="n">
        <v>3</v>
      </c>
      <c r="I71" s="17" t="n">
        <v>0</v>
      </c>
      <c r="J71" s="21">
        <f>SUM(G71:I71)</f>
        <v/>
      </c>
      <c r="K71" s="18">
        <f>VLOOKUP(F71,'AI Factors'!$A$3:$B$9,2,FALSE)</f>
        <v/>
      </c>
      <c r="L71" s="21">
        <f>J71*(1-K71)</f>
        <v/>
      </c>
      <c r="M71" s="21">
        <f>IF(L71=0,0,L71/Rates!$B$15*Rates!$B$21)</f>
        <v/>
      </c>
      <c r="N71" s="21">
        <f>M71*Rates!$B$15</f>
        <v/>
      </c>
      <c r="O71" s="21">
        <f>M71*Rates!$B$13</f>
        <v/>
      </c>
      <c r="P71" s="21">
        <f>M71*Rates!$B$14</f>
        <v/>
      </c>
      <c r="Q71" s="21">
        <f>M71*Rates!$B$16</f>
        <v/>
      </c>
      <c r="R71" s="22">
        <f>N71*Rates!$D$6+O71*Rates!$D$9+P71*Rates!$D$8+Q71*Rates!$D$7</f>
        <v/>
      </c>
    </row>
    <row r="72">
      <c r="A72" s="20" t="inlineStr">
        <is>
          <t>MVP</t>
        </is>
      </c>
      <c r="B72" s="17" t="inlineStr">
        <is>
          <t>I. Cross-Cutting UX &amp; Platform</t>
        </is>
      </c>
      <c r="C72" s="17" t="inlineStr">
        <is>
          <t>UX completeness</t>
        </is>
      </c>
      <c r="D72" s="17" t="inlineStr">
        <is>
          <t>Platform</t>
        </is>
      </c>
      <c r="E72" s="19" t="inlineStr">
        <is>
          <t>i18n / timezone handling</t>
        </is>
      </c>
      <c r="F72" s="17" t="inlineStr">
        <is>
          <t>Business Logic</t>
        </is>
      </c>
      <c r="G72" s="17" t="n">
        <v>1</v>
      </c>
      <c r="H72" s="17" t="n">
        <v>2</v>
      </c>
      <c r="I72" s="17" t="n">
        <v>0</v>
      </c>
      <c r="J72" s="21">
        <f>SUM(G72:I72)</f>
        <v/>
      </c>
      <c r="K72" s="18">
        <f>VLOOKUP(F72,'AI Factors'!$A$3:$B$9,2,FALSE)</f>
        <v/>
      </c>
      <c r="L72" s="21">
        <f>J72*(1-K72)</f>
        <v/>
      </c>
      <c r="M72" s="21">
        <f>IF(L72=0,0,L72/Rates!$B$15*Rates!$B$21)</f>
        <v/>
      </c>
      <c r="N72" s="21">
        <f>M72*Rates!$B$15</f>
        <v/>
      </c>
      <c r="O72" s="21">
        <f>M72*Rates!$B$13</f>
        <v/>
      </c>
      <c r="P72" s="21">
        <f>M72*Rates!$B$14</f>
        <v/>
      </c>
      <c r="Q72" s="21">
        <f>M72*Rates!$B$16</f>
        <v/>
      </c>
      <c r="R72" s="22">
        <f>N72*Rates!$D$6+O72*Rates!$D$9+P72*Rates!$D$8+Q72*Rates!$D$7</f>
        <v/>
      </c>
    </row>
    <row r="73">
      <c r="A73" s="20" t="inlineStr">
        <is>
          <t>MVP</t>
        </is>
      </c>
      <c r="B73" s="17" t="inlineStr">
        <is>
          <t>I. Cross-Cutting UX &amp; Platform</t>
        </is>
      </c>
      <c r="C73" s="17" t="inlineStr">
        <is>
          <t>UX completeness</t>
        </is>
      </c>
      <c r="D73" s="17" t="inlineStr">
        <is>
          <t>Platform</t>
        </is>
      </c>
      <c r="E73" s="19" t="inlineStr">
        <is>
          <t>App force-update / version gate</t>
        </is>
      </c>
      <c r="F73" s="17" t="inlineStr">
        <is>
          <t>Integration</t>
        </is>
      </c>
      <c r="G73" s="17" t="n">
        <v>0</v>
      </c>
      <c r="H73" s="17" t="n">
        <v>1</v>
      </c>
      <c r="I73" s="17" t="n">
        <v>0</v>
      </c>
      <c r="J73" s="21">
        <f>SUM(G73:I73)</f>
        <v/>
      </c>
      <c r="K73" s="18">
        <f>VLOOKUP(F73,'AI Factors'!$A$3:$B$9,2,FALSE)</f>
        <v/>
      </c>
      <c r="L73" s="21">
        <f>J73*(1-K73)</f>
        <v/>
      </c>
      <c r="M73" s="21">
        <f>IF(L73=0,0,L73/Rates!$B$15*Rates!$B$21)</f>
        <v/>
      </c>
      <c r="N73" s="21">
        <f>M73*Rates!$B$15</f>
        <v/>
      </c>
      <c r="O73" s="21">
        <f>M73*Rates!$B$13</f>
        <v/>
      </c>
      <c r="P73" s="21">
        <f>M73*Rates!$B$14</f>
        <v/>
      </c>
      <c r="Q73" s="21">
        <f>M73*Rates!$B$16</f>
        <v/>
      </c>
      <c r="R73" s="22">
        <f>N73*Rates!$D$6+O73*Rates!$D$9+P73*Rates!$D$8+Q73*Rates!$D$7</f>
        <v/>
      </c>
    </row>
    <row r="74">
      <c r="A74" s="20" t="inlineStr">
        <is>
          <t>MVP</t>
        </is>
      </c>
      <c r="B74" s="17" t="inlineStr">
        <is>
          <t>I. Cross-Cutting UX &amp; Platform</t>
        </is>
      </c>
      <c r="C74" s="17" t="inlineStr">
        <is>
          <t>UX completeness</t>
        </is>
      </c>
      <c r="D74" s="17" t="inlineStr">
        <is>
          <t>Platform</t>
        </is>
      </c>
      <c r="E74" s="19" t="inlineStr">
        <is>
          <t>Accessibility (a11y) pass</t>
        </is>
      </c>
      <c r="F74" s="17" t="inlineStr">
        <is>
          <t>UI Standard</t>
        </is>
      </c>
      <c r="G74" s="17" t="n">
        <v>0</v>
      </c>
      <c r="H74" s="17" t="n">
        <v>2</v>
      </c>
      <c r="I74" s="17" t="n">
        <v>1</v>
      </c>
      <c r="J74" s="21">
        <f>SUM(G74:I74)</f>
        <v/>
      </c>
      <c r="K74" s="18">
        <f>VLOOKUP(F74,'AI Factors'!$A$3:$B$9,2,FALSE)</f>
        <v/>
      </c>
      <c r="L74" s="21">
        <f>J74*(1-K74)</f>
        <v/>
      </c>
      <c r="M74" s="21">
        <f>IF(L74=0,0,L74/Rates!$B$15*Rates!$B$21)</f>
        <v/>
      </c>
      <c r="N74" s="21">
        <f>M74*Rates!$B$15</f>
        <v/>
      </c>
      <c r="O74" s="21">
        <f>M74*Rates!$B$13</f>
        <v/>
      </c>
      <c r="P74" s="21">
        <f>M74*Rates!$B$14</f>
        <v/>
      </c>
      <c r="Q74" s="21">
        <f>M74*Rates!$B$16</f>
        <v/>
      </c>
      <c r="R74" s="22">
        <f>N74*Rates!$D$6+O74*Rates!$D$9+P74*Rates!$D$8+Q74*Rates!$D$7</f>
        <v/>
      </c>
    </row>
    <row r="75">
      <c r="A75" s="20" t="inlineStr">
        <is>
          <t>MVP</t>
        </is>
      </c>
      <c r="B75" s="17" t="inlineStr">
        <is>
          <t>I. Cross-Cutting UX &amp; Platform</t>
        </is>
      </c>
      <c r="C75" s="17" t="inlineStr">
        <is>
          <t>UX completeness</t>
        </is>
      </c>
      <c r="D75" s="17" t="inlineStr">
        <is>
          <t>Platform</t>
        </is>
      </c>
      <c r="E75" s="19" t="inlineStr">
        <is>
          <t>Analytics / event tracking</t>
        </is>
      </c>
      <c r="F75" s="17" t="inlineStr">
        <is>
          <t>Integration</t>
        </is>
      </c>
      <c r="G75" s="17" t="n">
        <v>1</v>
      </c>
      <c r="H75" s="17" t="n">
        <v>1</v>
      </c>
      <c r="I75" s="17" t="n">
        <v>0</v>
      </c>
      <c r="J75" s="21">
        <f>SUM(G75:I75)</f>
        <v/>
      </c>
      <c r="K75" s="18">
        <f>VLOOKUP(F75,'AI Factors'!$A$3:$B$9,2,FALSE)</f>
        <v/>
      </c>
      <c r="L75" s="21">
        <f>J75*(1-K75)</f>
        <v/>
      </c>
      <c r="M75" s="21">
        <f>IF(L75=0,0,L75/Rates!$B$15*Rates!$B$21)</f>
        <v/>
      </c>
      <c r="N75" s="21">
        <f>M75*Rates!$B$15</f>
        <v/>
      </c>
      <c r="O75" s="21">
        <f>M75*Rates!$B$13</f>
        <v/>
      </c>
      <c r="P75" s="21">
        <f>M75*Rates!$B$14</f>
        <v/>
      </c>
      <c r="Q75" s="21">
        <f>M75*Rates!$B$16</f>
        <v/>
      </c>
      <c r="R75" s="22">
        <f>N75*Rates!$D$6+O75*Rates!$D$9+P75*Rates!$D$8+Q75*Rates!$D$7</f>
        <v/>
      </c>
    </row>
    <row r="76">
      <c r="A76" s="23" t="inlineStr">
        <is>
          <t>Phase 2</t>
        </is>
      </c>
      <c r="B76" s="17" t="inlineStr">
        <is>
          <t>P2-A. Scale &amp; Operations</t>
        </is>
      </c>
      <c r="C76" s="17" t="inlineStr">
        <is>
          <t>Horizontal scaling</t>
        </is>
      </c>
      <c r="D76" s="17" t="inlineStr">
        <is>
          <t>Multi-instance</t>
        </is>
      </c>
      <c r="E76" s="19" t="inlineStr">
        <is>
          <t>Stateless app + shared session/cache</t>
        </is>
      </c>
      <c r="F76" s="17" t="inlineStr">
        <is>
          <t>Complex/Critical</t>
        </is>
      </c>
      <c r="G76" s="17" t="n">
        <v>4</v>
      </c>
      <c r="H76" s="17" t="n">
        <v>0</v>
      </c>
      <c r="I76" s="17" t="n">
        <v>0</v>
      </c>
      <c r="J76" s="21">
        <f>SUM(G76:I76)</f>
        <v/>
      </c>
      <c r="K76" s="18">
        <f>VLOOKUP(F76,'AI Factors'!$A$3:$B$9,2,FALSE)</f>
        <v/>
      </c>
      <c r="L76" s="21">
        <f>J76*(1-K76)</f>
        <v/>
      </c>
      <c r="M76" s="21">
        <f>IF(L76=0,0,L76/Rates!$B$15*Rates!$B$21)</f>
        <v/>
      </c>
      <c r="N76" s="21">
        <f>M76*Rates!$B$15</f>
        <v/>
      </c>
      <c r="O76" s="21">
        <f>M76*Rates!$B$13</f>
        <v/>
      </c>
      <c r="P76" s="21">
        <f>M76*Rates!$B$14</f>
        <v/>
      </c>
      <c r="Q76" s="21">
        <f>M76*Rates!$B$16</f>
        <v/>
      </c>
      <c r="R76" s="22">
        <f>N76*Rates!$D$6+O76*Rates!$D$9+P76*Rates!$D$8+Q76*Rates!$D$7</f>
        <v/>
      </c>
    </row>
    <row r="77">
      <c r="A77" s="23" t="inlineStr">
        <is>
          <t>Phase 2</t>
        </is>
      </c>
      <c r="B77" s="17" t="inlineStr">
        <is>
          <t>P2-A. Scale &amp; Operations</t>
        </is>
      </c>
      <c r="C77" s="17" t="inlineStr">
        <is>
          <t>Horizontal scaling</t>
        </is>
      </c>
      <c r="D77" s="17" t="inlineStr">
        <is>
          <t>Multi-instance</t>
        </is>
      </c>
      <c r="E77" s="19" t="inlineStr">
        <is>
          <t>Load balancer + health/readiness probes</t>
        </is>
      </c>
      <c r="F77" s="17" t="inlineStr">
        <is>
          <t>Infra/DevOps</t>
        </is>
      </c>
      <c r="G77" s="17" t="n">
        <v>2</v>
      </c>
      <c r="H77" s="17" t="n">
        <v>0</v>
      </c>
      <c r="I77" s="17" t="n">
        <v>0</v>
      </c>
      <c r="J77" s="21">
        <f>SUM(G77:I77)</f>
        <v/>
      </c>
      <c r="K77" s="18">
        <f>VLOOKUP(F77,'AI Factors'!$A$3:$B$9,2,FALSE)</f>
        <v/>
      </c>
      <c r="L77" s="21">
        <f>J77*(1-K77)</f>
        <v/>
      </c>
      <c r="M77" s="21">
        <f>IF(L77=0,0,L77/Rates!$B$15*Rates!$B$21)</f>
        <v/>
      </c>
      <c r="N77" s="21">
        <f>M77*Rates!$B$15</f>
        <v/>
      </c>
      <c r="O77" s="21">
        <f>M77*Rates!$B$13</f>
        <v/>
      </c>
      <c r="P77" s="21">
        <f>M77*Rates!$B$14</f>
        <v/>
      </c>
      <c r="Q77" s="21">
        <f>M77*Rates!$B$16</f>
        <v/>
      </c>
      <c r="R77" s="22">
        <f>N77*Rates!$D$6+O77*Rates!$D$9+P77*Rates!$D$8+Q77*Rates!$D$7</f>
        <v/>
      </c>
    </row>
    <row r="78">
      <c r="A78" s="23" t="inlineStr">
        <is>
          <t>Phase 2</t>
        </is>
      </c>
      <c r="B78" s="17" t="inlineStr">
        <is>
          <t>P2-A. Scale &amp; Operations</t>
        </is>
      </c>
      <c r="C78" s="17" t="inlineStr">
        <is>
          <t>Horizontal scaling</t>
        </is>
      </c>
      <c r="D78" s="17" t="inlineStr">
        <is>
          <t>Multi-instance</t>
        </is>
      </c>
      <c r="E78" s="19" t="inlineStr">
        <is>
          <t>Distributed scheduler / leader-election</t>
        </is>
      </c>
      <c r="F78" s="17" t="inlineStr">
        <is>
          <t>Complex/Critical</t>
        </is>
      </c>
      <c r="G78" s="17" t="n">
        <v>3</v>
      </c>
      <c r="H78" s="17" t="n">
        <v>0</v>
      </c>
      <c r="I78" s="17" t="n">
        <v>0</v>
      </c>
      <c r="J78" s="21">
        <f>SUM(G78:I78)</f>
        <v/>
      </c>
      <c r="K78" s="18">
        <f>VLOOKUP(F78,'AI Factors'!$A$3:$B$9,2,FALSE)</f>
        <v/>
      </c>
      <c r="L78" s="21">
        <f>J78*(1-K78)</f>
        <v/>
      </c>
      <c r="M78" s="21">
        <f>IF(L78=0,0,L78/Rates!$B$15*Rates!$B$21)</f>
        <v/>
      </c>
      <c r="N78" s="21">
        <f>M78*Rates!$B$15</f>
        <v/>
      </c>
      <c r="O78" s="21">
        <f>M78*Rates!$B$13</f>
        <v/>
      </c>
      <c r="P78" s="21">
        <f>M78*Rates!$B$14</f>
        <v/>
      </c>
      <c r="Q78" s="21">
        <f>M78*Rates!$B$16</f>
        <v/>
      </c>
      <c r="R78" s="22">
        <f>N78*Rates!$D$6+O78*Rates!$D$9+P78*Rates!$D$8+Q78*Rates!$D$7</f>
        <v/>
      </c>
    </row>
    <row r="79">
      <c r="A79" s="23" t="inlineStr">
        <is>
          <t>Phase 2</t>
        </is>
      </c>
      <c r="B79" s="17" t="inlineStr">
        <is>
          <t>P2-A. Scale &amp; Operations</t>
        </is>
      </c>
      <c r="C79" s="17" t="inlineStr">
        <is>
          <t>Horizontal scaling</t>
        </is>
      </c>
      <c r="D79" s="17" t="inlineStr">
        <is>
          <t>Multi-instance</t>
        </is>
      </c>
      <c r="E79" s="19" t="inlineStr">
        <is>
          <t>Multi-instance queue tuning</t>
        </is>
      </c>
      <c r="F79" s="17" t="inlineStr">
        <is>
          <t>Infra/DevOps</t>
        </is>
      </c>
      <c r="G79" s="17" t="n">
        <v>2</v>
      </c>
      <c r="H79" s="17" t="n">
        <v>0</v>
      </c>
      <c r="I79" s="17" t="n">
        <v>0</v>
      </c>
      <c r="J79" s="21">
        <f>SUM(G79:I79)</f>
        <v/>
      </c>
      <c r="K79" s="18">
        <f>VLOOKUP(F79,'AI Factors'!$A$3:$B$9,2,FALSE)</f>
        <v/>
      </c>
      <c r="L79" s="21">
        <f>J79*(1-K79)</f>
        <v/>
      </c>
      <c r="M79" s="21">
        <f>IF(L79=0,0,L79/Rates!$B$15*Rates!$B$21)</f>
        <v/>
      </c>
      <c r="N79" s="21">
        <f>M79*Rates!$B$15</f>
        <v/>
      </c>
      <c r="O79" s="21">
        <f>M79*Rates!$B$13</f>
        <v/>
      </c>
      <c r="P79" s="21">
        <f>M79*Rates!$B$14</f>
        <v/>
      </c>
      <c r="Q79" s="21">
        <f>M79*Rates!$B$16</f>
        <v/>
      </c>
      <c r="R79" s="22">
        <f>N79*Rates!$D$6+O79*Rates!$D$9+P79*Rates!$D$8+Q79*Rates!$D$7</f>
        <v/>
      </c>
    </row>
    <row r="80">
      <c r="A80" s="23" t="inlineStr">
        <is>
          <t>Phase 2</t>
        </is>
      </c>
      <c r="B80" s="17" t="inlineStr">
        <is>
          <t>P2-A. Scale &amp; Operations</t>
        </is>
      </c>
      <c r="C80" s="17" t="inlineStr">
        <is>
          <t>Ops tooling</t>
        </is>
      </c>
      <c r="D80" s="17" t="inlineStr">
        <is>
          <t>Support</t>
        </is>
      </c>
      <c r="E80" s="19" t="inlineStr">
        <is>
          <t>Admin impersonation / support login</t>
        </is>
      </c>
      <c r="F80" s="17" t="inlineStr">
        <is>
          <t>Business Logic</t>
        </is>
      </c>
      <c r="G80" s="17" t="n">
        <v>3</v>
      </c>
      <c r="H80" s="17" t="n">
        <v>0</v>
      </c>
      <c r="I80" s="17" t="n">
        <v>1</v>
      </c>
      <c r="J80" s="21">
        <f>SUM(G80:I80)</f>
        <v/>
      </c>
      <c r="K80" s="18">
        <f>VLOOKUP(F80,'AI Factors'!$A$3:$B$9,2,FALSE)</f>
        <v/>
      </c>
      <c r="L80" s="21">
        <f>J80*(1-K80)</f>
        <v/>
      </c>
      <c r="M80" s="21">
        <f>IF(L80=0,0,L80/Rates!$B$15*Rates!$B$21)</f>
        <v/>
      </c>
      <c r="N80" s="21">
        <f>M80*Rates!$B$15</f>
        <v/>
      </c>
      <c r="O80" s="21">
        <f>M80*Rates!$B$13</f>
        <v/>
      </c>
      <c r="P80" s="21">
        <f>M80*Rates!$B$14</f>
        <v/>
      </c>
      <c r="Q80" s="21">
        <f>M80*Rates!$B$16</f>
        <v/>
      </c>
      <c r="R80" s="22">
        <f>N80*Rates!$D$6+O80*Rates!$D$9+P80*Rates!$D$8+Q80*Rates!$D$7</f>
        <v/>
      </c>
    </row>
    <row r="81">
      <c r="A81" s="23" t="inlineStr">
        <is>
          <t>Phase 2</t>
        </is>
      </c>
      <c r="B81" s="17" t="inlineStr">
        <is>
          <t>P2-A. Scale &amp; Operations</t>
        </is>
      </c>
      <c r="C81" s="17" t="inlineStr">
        <is>
          <t>Ops tooling</t>
        </is>
      </c>
      <c r="D81" s="17" t="inlineStr">
        <is>
          <t>Support</t>
        </is>
      </c>
      <c r="E81" s="19" t="inlineStr">
        <is>
          <t>Maintenance mode</t>
        </is>
      </c>
      <c r="F81" s="17" t="inlineStr">
        <is>
          <t>CRUD/Config</t>
        </is>
      </c>
      <c r="G81" s="17" t="n">
        <v>1</v>
      </c>
      <c r="H81" s="17" t="n">
        <v>1</v>
      </c>
      <c r="I81" s="17" t="n">
        <v>1</v>
      </c>
      <c r="J81" s="21">
        <f>SUM(G81:I81)</f>
        <v/>
      </c>
      <c r="K81" s="18">
        <f>VLOOKUP(F81,'AI Factors'!$A$3:$B$9,2,FALSE)</f>
        <v/>
      </c>
      <c r="L81" s="21">
        <f>J81*(1-K81)</f>
        <v/>
      </c>
      <c r="M81" s="21">
        <f>IF(L81=0,0,L81/Rates!$B$15*Rates!$B$21)</f>
        <v/>
      </c>
      <c r="N81" s="21">
        <f>M81*Rates!$B$15</f>
        <v/>
      </c>
      <c r="O81" s="21">
        <f>M81*Rates!$B$13</f>
        <v/>
      </c>
      <c r="P81" s="21">
        <f>M81*Rates!$B$14</f>
        <v/>
      </c>
      <c r="Q81" s="21">
        <f>M81*Rates!$B$16</f>
        <v/>
      </c>
      <c r="R81" s="22">
        <f>N81*Rates!$D$6+O81*Rates!$D$9+P81*Rates!$D$8+Q81*Rates!$D$7</f>
        <v/>
      </c>
    </row>
    <row r="82">
      <c r="A82" s="23" t="inlineStr">
        <is>
          <t>Phase 2</t>
        </is>
      </c>
      <c r="B82" s="17" t="inlineStr">
        <is>
          <t>P2-A. Scale &amp; Operations</t>
        </is>
      </c>
      <c r="C82" s="17" t="inlineStr">
        <is>
          <t>Ops tooling</t>
        </is>
      </c>
      <c r="D82" s="17" t="inlineStr">
        <is>
          <t>Support</t>
        </is>
      </c>
      <c r="E82" s="19" t="inlineStr">
        <is>
          <t>Demo / seed-data environments</t>
        </is>
      </c>
      <c r="F82" s="17" t="inlineStr">
        <is>
          <t>Infra/DevOps</t>
        </is>
      </c>
      <c r="G82" s="17" t="n">
        <v>2</v>
      </c>
      <c r="H82" s="17" t="n">
        <v>0</v>
      </c>
      <c r="I82" s="17" t="n">
        <v>0</v>
      </c>
      <c r="J82" s="21">
        <f>SUM(G82:I82)</f>
        <v/>
      </c>
      <c r="K82" s="18">
        <f>VLOOKUP(F82,'AI Factors'!$A$3:$B$9,2,FALSE)</f>
        <v/>
      </c>
      <c r="L82" s="21">
        <f>J82*(1-K82)</f>
        <v/>
      </c>
      <c r="M82" s="21">
        <f>IF(L82=0,0,L82/Rates!$B$15*Rates!$B$21)</f>
        <v/>
      </c>
      <c r="N82" s="21">
        <f>M82*Rates!$B$15</f>
        <v/>
      </c>
      <c r="O82" s="21">
        <f>M82*Rates!$B$13</f>
        <v/>
      </c>
      <c r="P82" s="21">
        <f>M82*Rates!$B$14</f>
        <v/>
      </c>
      <c r="Q82" s="21">
        <f>M82*Rates!$B$16</f>
        <v/>
      </c>
      <c r="R82" s="22">
        <f>N82*Rates!$D$6+O82*Rates!$D$9+P82*Rates!$D$8+Q82*Rates!$D$7</f>
        <v/>
      </c>
    </row>
    <row r="83">
      <c r="A83" s="23" t="inlineStr">
        <is>
          <t>Phase 2</t>
        </is>
      </c>
      <c r="B83" s="17" t="inlineStr">
        <is>
          <t>P2-A. Scale &amp; Operations</t>
        </is>
      </c>
      <c r="C83" s="17" t="inlineStr">
        <is>
          <t>Ops tooling</t>
        </is>
      </c>
      <c r="D83" s="17" t="inlineStr">
        <is>
          <t>Support</t>
        </is>
      </c>
      <c r="E83" s="19" t="inlineStr">
        <is>
          <t>AV scanning of uploads (ClamAV integration)</t>
        </is>
      </c>
      <c r="F83" s="17" t="inlineStr">
        <is>
          <t>Integration</t>
        </is>
      </c>
      <c r="G83" s="17" t="n">
        <v>3</v>
      </c>
      <c r="H83" s="17" t="n">
        <v>0</v>
      </c>
      <c r="I83" s="17" t="n">
        <v>0</v>
      </c>
      <c r="J83" s="21">
        <f>SUM(G83:I83)</f>
        <v/>
      </c>
      <c r="K83" s="18">
        <f>VLOOKUP(F83,'AI Factors'!$A$3:$B$9,2,FALSE)</f>
        <v/>
      </c>
      <c r="L83" s="21">
        <f>J83*(1-K83)</f>
        <v/>
      </c>
      <c r="M83" s="21">
        <f>IF(L83=0,0,L83/Rates!$B$15*Rates!$B$21)</f>
        <v/>
      </c>
      <c r="N83" s="21">
        <f>M83*Rates!$B$15</f>
        <v/>
      </c>
      <c r="O83" s="21">
        <f>M83*Rates!$B$13</f>
        <v/>
      </c>
      <c r="P83" s="21">
        <f>M83*Rates!$B$14</f>
        <v/>
      </c>
      <c r="Q83" s="21">
        <f>M83*Rates!$B$16</f>
        <v/>
      </c>
      <c r="R83" s="22">
        <f>N83*Rates!$D$6+O83*Rates!$D$9+P83*Rates!$D$8+Q83*Rates!$D$7</f>
        <v/>
      </c>
    </row>
    <row r="84">
      <c r="A84" s="23" t="inlineStr">
        <is>
          <t>Phase 2</t>
        </is>
      </c>
      <c r="B84" s="17" t="inlineStr">
        <is>
          <t>P2-B. Revenue &amp; Payments</t>
        </is>
      </c>
      <c r="C84" s="17" t="inlineStr">
        <is>
          <t>Adjustments</t>
        </is>
      </c>
      <c r="D84" s="17" t="inlineStr">
        <is>
          <t>Corrections</t>
        </is>
      </c>
      <c r="E84" s="19" t="inlineStr">
        <is>
          <t>Refunds / adjustments / credit notes</t>
        </is>
      </c>
      <c r="F84" s="17" t="inlineStr">
        <is>
          <t>Complex/Critical</t>
        </is>
      </c>
      <c r="G84" s="17" t="n">
        <v>5</v>
      </c>
      <c r="H84" s="17" t="n">
        <v>1</v>
      </c>
      <c r="I84" s="17" t="n">
        <v>2</v>
      </c>
      <c r="J84" s="21">
        <f>SUM(G84:I84)</f>
        <v/>
      </c>
      <c r="K84" s="18">
        <f>VLOOKUP(F84,'AI Factors'!$A$3:$B$9,2,FALSE)</f>
        <v/>
      </c>
      <c r="L84" s="21">
        <f>J84*(1-K84)</f>
        <v/>
      </c>
      <c r="M84" s="21">
        <f>IF(L84=0,0,L84/Rates!$B$15*Rates!$B$21)</f>
        <v/>
      </c>
      <c r="N84" s="21">
        <f>M84*Rates!$B$15</f>
        <v/>
      </c>
      <c r="O84" s="21">
        <f>M84*Rates!$B$13</f>
        <v/>
      </c>
      <c r="P84" s="21">
        <f>M84*Rates!$B$14</f>
        <v/>
      </c>
      <c r="Q84" s="21">
        <f>M84*Rates!$B$16</f>
        <v/>
      </c>
      <c r="R84" s="22">
        <f>N84*Rates!$D$6+O84*Rates!$D$9+P84*Rates!$D$8+Q84*Rates!$D$7</f>
        <v/>
      </c>
    </row>
    <row r="85">
      <c r="A85" s="23" t="inlineStr">
        <is>
          <t>Phase 2</t>
        </is>
      </c>
      <c r="B85" s="17" t="inlineStr">
        <is>
          <t>P2-B. Revenue &amp; Payments</t>
        </is>
      </c>
      <c r="C85" s="17" t="inlineStr">
        <is>
          <t>Adjustments</t>
        </is>
      </c>
      <c r="D85" s="17" t="inlineStr">
        <is>
          <t>Corrections</t>
        </is>
      </c>
      <c r="E85" s="19" t="inlineStr">
        <is>
          <t>Dispute / chargeback handling</t>
        </is>
      </c>
      <c r="F85" s="17" t="inlineStr">
        <is>
          <t>Business Logic</t>
        </is>
      </c>
      <c r="G85" s="17" t="n">
        <v>3</v>
      </c>
      <c r="H85" s="17" t="n">
        <v>0</v>
      </c>
      <c r="I85" s="17" t="n">
        <v>1</v>
      </c>
      <c r="J85" s="21">
        <f>SUM(G85:I85)</f>
        <v/>
      </c>
      <c r="K85" s="18">
        <f>VLOOKUP(F85,'AI Factors'!$A$3:$B$9,2,FALSE)</f>
        <v/>
      </c>
      <c r="L85" s="21">
        <f>J85*(1-K85)</f>
        <v/>
      </c>
      <c r="M85" s="21">
        <f>IF(L85=0,0,L85/Rates!$B$15*Rates!$B$21)</f>
        <v/>
      </c>
      <c r="N85" s="21">
        <f>M85*Rates!$B$15</f>
        <v/>
      </c>
      <c r="O85" s="21">
        <f>M85*Rates!$B$13</f>
        <v/>
      </c>
      <c r="P85" s="21">
        <f>M85*Rates!$B$14</f>
        <v/>
      </c>
      <c r="Q85" s="21">
        <f>M85*Rates!$B$16</f>
        <v/>
      </c>
      <c r="R85" s="22">
        <f>N85*Rates!$D$6+O85*Rates!$D$9+P85*Rates!$D$8+Q85*Rates!$D$7</f>
        <v/>
      </c>
    </row>
    <row r="86">
      <c r="A86" s="23" t="inlineStr">
        <is>
          <t>Phase 2</t>
        </is>
      </c>
      <c r="B86" s="17" t="inlineStr">
        <is>
          <t>P2-B. Revenue &amp; Payments</t>
        </is>
      </c>
      <c r="C86" s="17" t="inlineStr">
        <is>
          <t>Payroll expansion</t>
        </is>
      </c>
      <c r="D86" s="17" t="inlineStr">
        <is>
          <t>In-house PAYE</t>
        </is>
      </c>
      <c r="E86" s="19" t="inlineStr">
        <is>
          <t>PAYE engine (income tax + NI calc)</t>
        </is>
      </c>
      <c r="F86" s="17" t="inlineStr">
        <is>
          <t>Complex/Critical</t>
        </is>
      </c>
      <c r="G86" s="17" t="n">
        <v>8</v>
      </c>
      <c r="H86" s="17" t="n">
        <v>0</v>
      </c>
      <c r="I86" s="17" t="n">
        <v>0</v>
      </c>
      <c r="J86" s="21">
        <f>SUM(G86:I86)</f>
        <v/>
      </c>
      <c r="K86" s="18">
        <f>VLOOKUP(F86,'AI Factors'!$A$3:$B$9,2,FALSE)</f>
        <v/>
      </c>
      <c r="L86" s="21">
        <f>J86*(1-K86)</f>
        <v/>
      </c>
      <c r="M86" s="21">
        <f>IF(L86=0,0,L86/Rates!$B$15*Rates!$B$21)</f>
        <v/>
      </c>
      <c r="N86" s="21">
        <f>M86*Rates!$B$15</f>
        <v/>
      </c>
      <c r="O86" s="21">
        <f>M86*Rates!$B$13</f>
        <v/>
      </c>
      <c r="P86" s="21">
        <f>M86*Rates!$B$14</f>
        <v/>
      </c>
      <c r="Q86" s="21">
        <f>M86*Rates!$B$16</f>
        <v/>
      </c>
      <c r="R86" s="22">
        <f>N86*Rates!$D$6+O86*Rates!$D$9+P86*Rates!$D$8+Q86*Rates!$D$7</f>
        <v/>
      </c>
    </row>
    <row r="87">
      <c r="A87" s="23" t="inlineStr">
        <is>
          <t>Phase 2</t>
        </is>
      </c>
      <c r="B87" s="17" t="inlineStr">
        <is>
          <t>P2-B. Revenue &amp; Payments</t>
        </is>
      </c>
      <c r="C87" s="17" t="inlineStr">
        <is>
          <t>Payroll expansion</t>
        </is>
      </c>
      <c r="D87" s="17" t="inlineStr">
        <is>
          <t>In-house PAYE</t>
        </is>
      </c>
      <c r="E87" s="19" t="inlineStr">
        <is>
          <t>RTI submission (HMRC FPS/EPS)</t>
        </is>
      </c>
      <c r="F87" s="17" t="inlineStr">
        <is>
          <t>Integration</t>
        </is>
      </c>
      <c r="G87" s="17" t="n">
        <v>5</v>
      </c>
      <c r="H87" s="17" t="n">
        <v>0</v>
      </c>
      <c r="I87" s="17" t="n">
        <v>0</v>
      </c>
      <c r="J87" s="21">
        <f>SUM(G87:I87)</f>
        <v/>
      </c>
      <c r="K87" s="18">
        <f>VLOOKUP(F87,'AI Factors'!$A$3:$B$9,2,FALSE)</f>
        <v/>
      </c>
      <c r="L87" s="21">
        <f>J87*(1-K87)</f>
        <v/>
      </c>
      <c r="M87" s="21">
        <f>IF(L87=0,0,L87/Rates!$B$15*Rates!$B$21)</f>
        <v/>
      </c>
      <c r="N87" s="21">
        <f>M87*Rates!$B$15</f>
        <v/>
      </c>
      <c r="O87" s="21">
        <f>M87*Rates!$B$13</f>
        <v/>
      </c>
      <c r="P87" s="21">
        <f>M87*Rates!$B$14</f>
        <v/>
      </c>
      <c r="Q87" s="21">
        <f>M87*Rates!$B$16</f>
        <v/>
      </c>
      <c r="R87" s="22">
        <f>N87*Rates!$D$6+O87*Rates!$D$9+P87*Rates!$D$8+Q87*Rates!$D$7</f>
        <v/>
      </c>
    </row>
    <row r="88">
      <c r="A88" s="23" t="inlineStr">
        <is>
          <t>Phase 2</t>
        </is>
      </c>
      <c r="B88" s="17" t="inlineStr">
        <is>
          <t>P2-B. Revenue &amp; Payments</t>
        </is>
      </c>
      <c r="C88" s="17" t="inlineStr">
        <is>
          <t>Payroll expansion</t>
        </is>
      </c>
      <c r="D88" s="17" t="inlineStr">
        <is>
          <t>In-house PAYE</t>
        </is>
      </c>
      <c r="E88" s="19" t="inlineStr">
        <is>
          <t>Pension auto-enrolment</t>
        </is>
      </c>
      <c r="F88" s="17" t="inlineStr">
        <is>
          <t>Business Logic</t>
        </is>
      </c>
      <c r="G88" s="17" t="n">
        <v>4</v>
      </c>
      <c r="H88" s="17" t="n">
        <v>0</v>
      </c>
      <c r="I88" s="17" t="n">
        <v>0</v>
      </c>
      <c r="J88" s="21">
        <f>SUM(G88:I88)</f>
        <v/>
      </c>
      <c r="K88" s="18">
        <f>VLOOKUP(F88,'AI Factors'!$A$3:$B$9,2,FALSE)</f>
        <v/>
      </c>
      <c r="L88" s="21">
        <f>J88*(1-K88)</f>
        <v/>
      </c>
      <c r="M88" s="21">
        <f>IF(L88=0,0,L88/Rates!$B$15*Rates!$B$21)</f>
        <v/>
      </c>
      <c r="N88" s="21">
        <f>M88*Rates!$B$15</f>
        <v/>
      </c>
      <c r="O88" s="21">
        <f>M88*Rates!$B$13</f>
        <v/>
      </c>
      <c r="P88" s="21">
        <f>M88*Rates!$B$14</f>
        <v/>
      </c>
      <c r="Q88" s="21">
        <f>M88*Rates!$B$16</f>
        <v/>
      </c>
      <c r="R88" s="22">
        <f>N88*Rates!$D$6+O88*Rates!$D$9+P88*Rates!$D$8+Q88*Rates!$D$7</f>
        <v/>
      </c>
    </row>
    <row r="89">
      <c r="A89" s="23" t="inlineStr">
        <is>
          <t>Phase 2</t>
        </is>
      </c>
      <c r="B89" s="17" t="inlineStr">
        <is>
          <t>P2-B. Revenue &amp; Payments</t>
        </is>
      </c>
      <c r="C89" s="17" t="inlineStr">
        <is>
          <t>Payroll expansion</t>
        </is>
      </c>
      <c r="D89" s="17" t="inlineStr">
        <is>
          <t>In-house PAYE</t>
        </is>
      </c>
      <c r="E89" s="19" t="inlineStr">
        <is>
          <t>Holiday pay accrual</t>
        </is>
      </c>
      <c r="F89" s="17" t="inlineStr">
        <is>
          <t>Business Logic</t>
        </is>
      </c>
      <c r="G89" s="17" t="n">
        <v>3</v>
      </c>
      <c r="H89" s="17" t="n">
        <v>0</v>
      </c>
      <c r="I89" s="17" t="n">
        <v>0</v>
      </c>
      <c r="J89" s="21">
        <f>SUM(G89:I89)</f>
        <v/>
      </c>
      <c r="K89" s="18">
        <f>VLOOKUP(F89,'AI Factors'!$A$3:$B$9,2,FALSE)</f>
        <v/>
      </c>
      <c r="L89" s="21">
        <f>J89*(1-K89)</f>
        <v/>
      </c>
      <c r="M89" s="21">
        <f>IF(L89=0,0,L89/Rates!$B$15*Rates!$B$21)</f>
        <v/>
      </c>
      <c r="N89" s="21">
        <f>M89*Rates!$B$15</f>
        <v/>
      </c>
      <c r="O89" s="21">
        <f>M89*Rates!$B$13</f>
        <v/>
      </c>
      <c r="P89" s="21">
        <f>M89*Rates!$B$14</f>
        <v/>
      </c>
      <c r="Q89" s="21">
        <f>M89*Rates!$B$16</f>
        <v/>
      </c>
      <c r="R89" s="22">
        <f>N89*Rates!$D$6+O89*Rates!$D$9+P89*Rates!$D$8+Q89*Rates!$D$7</f>
        <v/>
      </c>
    </row>
    <row r="90">
      <c r="A90" s="23" t="inlineStr">
        <is>
          <t>Phase 2</t>
        </is>
      </c>
      <c r="B90" s="17" t="inlineStr">
        <is>
          <t>P2-B. Revenue &amp; Payments</t>
        </is>
      </c>
      <c r="C90" s="17" t="inlineStr">
        <is>
          <t>Payroll expansion</t>
        </is>
      </c>
      <c r="D90" s="17" t="inlineStr">
        <is>
          <t>Providers</t>
        </is>
      </c>
      <c r="E90" s="19" t="inlineStr">
        <is>
          <t>Additional umbrella/payroll providers</t>
        </is>
      </c>
      <c r="F90" s="17" t="inlineStr">
        <is>
          <t>Integration</t>
        </is>
      </c>
      <c r="G90" s="17" t="n">
        <v>4</v>
      </c>
      <c r="H90" s="17" t="n">
        <v>0</v>
      </c>
      <c r="I90" s="17" t="n">
        <v>0</v>
      </c>
      <c r="J90" s="21">
        <f>SUM(G90:I90)</f>
        <v/>
      </c>
      <c r="K90" s="18">
        <f>VLOOKUP(F90,'AI Factors'!$A$3:$B$9,2,FALSE)</f>
        <v/>
      </c>
      <c r="L90" s="21">
        <f>J90*(1-K90)</f>
        <v/>
      </c>
      <c r="M90" s="21">
        <f>IF(L90=0,0,L90/Rates!$B$15*Rates!$B$21)</f>
        <v/>
      </c>
      <c r="N90" s="21">
        <f>M90*Rates!$B$15</f>
        <v/>
      </c>
      <c r="O90" s="21">
        <f>M90*Rates!$B$13</f>
        <v/>
      </c>
      <c r="P90" s="21">
        <f>M90*Rates!$B$14</f>
        <v/>
      </c>
      <c r="Q90" s="21">
        <f>M90*Rates!$B$16</f>
        <v/>
      </c>
      <c r="R90" s="22">
        <f>N90*Rates!$D$6+O90*Rates!$D$9+P90*Rates!$D$8+Q90*Rates!$D$7</f>
        <v/>
      </c>
    </row>
    <row r="91">
      <c r="A91" s="23" t="inlineStr">
        <is>
          <t>Phase 2</t>
        </is>
      </c>
      <c r="B91" s="17" t="inlineStr">
        <is>
          <t>P2-B. Revenue &amp; Payments</t>
        </is>
      </c>
      <c r="C91" s="17" t="inlineStr">
        <is>
          <t>Multi-currency</t>
        </is>
      </c>
      <c r="D91" s="17" t="inlineStr">
        <is>
          <t>Currency</t>
        </is>
      </c>
      <c r="E91" s="19" t="inlineStr">
        <is>
          <t>Multi-currency support</t>
        </is>
      </c>
      <c r="F91" s="17" t="inlineStr">
        <is>
          <t>Complex/Critical</t>
        </is>
      </c>
      <c r="G91" s="17" t="n">
        <v>4</v>
      </c>
      <c r="H91" s="17" t="n">
        <v>2</v>
      </c>
      <c r="I91" s="17" t="n">
        <v>1</v>
      </c>
      <c r="J91" s="21">
        <f>SUM(G91:I91)</f>
        <v/>
      </c>
      <c r="K91" s="18">
        <f>VLOOKUP(F91,'AI Factors'!$A$3:$B$9,2,FALSE)</f>
        <v/>
      </c>
      <c r="L91" s="21">
        <f>J91*(1-K91)</f>
        <v/>
      </c>
      <c r="M91" s="21">
        <f>IF(L91=0,0,L91/Rates!$B$15*Rates!$B$21)</f>
        <v/>
      </c>
      <c r="N91" s="21">
        <f>M91*Rates!$B$15</f>
        <v/>
      </c>
      <c r="O91" s="21">
        <f>M91*Rates!$B$13</f>
        <v/>
      </c>
      <c r="P91" s="21">
        <f>M91*Rates!$B$14</f>
        <v/>
      </c>
      <c r="Q91" s="21">
        <f>M91*Rates!$B$16</f>
        <v/>
      </c>
      <c r="R91" s="22">
        <f>N91*Rates!$D$6+O91*Rates!$D$9+P91*Rates!$D$8+Q91*Rates!$D$7</f>
        <v/>
      </c>
    </row>
    <row r="92">
      <c r="A92" s="23" t="inlineStr">
        <is>
          <t>Phase 2</t>
        </is>
      </c>
      <c r="B92" s="17" t="inlineStr">
        <is>
          <t>P2-C. Growth &amp; Intelligence</t>
        </is>
      </c>
      <c r="C92" s="17" t="inlineStr">
        <is>
          <t>Smart matching</t>
        </is>
      </c>
      <c r="D92" s="17" t="inlineStr">
        <is>
          <t>Automation</t>
        </is>
      </c>
      <c r="E92" s="19" t="inlineStr">
        <is>
          <t>Automated matching engine (scoring + auto-offer)</t>
        </is>
      </c>
      <c r="F92" s="17" t="inlineStr">
        <is>
          <t>Complex/Critical</t>
        </is>
      </c>
      <c r="G92" s="17" t="n">
        <v>6</v>
      </c>
      <c r="H92" s="17" t="n">
        <v>2</v>
      </c>
      <c r="I92" s="17" t="n">
        <v>0</v>
      </c>
      <c r="J92" s="21">
        <f>SUM(G92:I92)</f>
        <v/>
      </c>
      <c r="K92" s="18">
        <f>VLOOKUP(F92,'AI Factors'!$A$3:$B$9,2,FALSE)</f>
        <v/>
      </c>
      <c r="L92" s="21">
        <f>J92*(1-K92)</f>
        <v/>
      </c>
      <c r="M92" s="21">
        <f>IF(L92=0,0,L92/Rates!$B$15*Rates!$B$21)</f>
        <v/>
      </c>
      <c r="N92" s="21">
        <f>M92*Rates!$B$15</f>
        <v/>
      </c>
      <c r="O92" s="21">
        <f>M92*Rates!$B$13</f>
        <v/>
      </c>
      <c r="P92" s="21">
        <f>M92*Rates!$B$14</f>
        <v/>
      </c>
      <c r="Q92" s="21">
        <f>M92*Rates!$B$16</f>
        <v/>
      </c>
      <c r="R92" s="22">
        <f>N92*Rates!$D$6+O92*Rates!$D$9+P92*Rates!$D$8+Q92*Rates!$D$7</f>
        <v/>
      </c>
    </row>
    <row r="93">
      <c r="A93" s="23" t="inlineStr">
        <is>
          <t>Phase 2</t>
        </is>
      </c>
      <c r="B93" s="17" t="inlineStr">
        <is>
          <t>P2-C. Growth &amp; Intelligence</t>
        </is>
      </c>
      <c r="C93" s="17" t="inlineStr">
        <is>
          <t>Smart matching</t>
        </is>
      </c>
      <c r="D93" s="17" t="inlineStr">
        <is>
          <t>Automation</t>
        </is>
      </c>
      <c r="E93" s="19" t="inlineStr">
        <is>
          <t>Learning from placement outcomes</t>
        </is>
      </c>
      <c r="F93" s="17" t="inlineStr">
        <is>
          <t>Complex/Critical</t>
        </is>
      </c>
      <c r="G93" s="17" t="n">
        <v>5</v>
      </c>
      <c r="H93" s="17" t="n">
        <v>0</v>
      </c>
      <c r="I93" s="17" t="n">
        <v>0</v>
      </c>
      <c r="J93" s="21">
        <f>SUM(G93:I93)</f>
        <v/>
      </c>
      <c r="K93" s="18">
        <f>VLOOKUP(F93,'AI Factors'!$A$3:$B$9,2,FALSE)</f>
        <v/>
      </c>
      <c r="L93" s="21">
        <f>J93*(1-K93)</f>
        <v/>
      </c>
      <c r="M93" s="21">
        <f>IF(L93=0,0,L93/Rates!$B$15*Rates!$B$21)</f>
        <v/>
      </c>
      <c r="N93" s="21">
        <f>M93*Rates!$B$15</f>
        <v/>
      </c>
      <c r="O93" s="21">
        <f>M93*Rates!$B$13</f>
        <v/>
      </c>
      <c r="P93" s="21">
        <f>M93*Rates!$B$14</f>
        <v/>
      </c>
      <c r="Q93" s="21">
        <f>M93*Rates!$B$16</f>
        <v/>
      </c>
      <c r="R93" s="22">
        <f>N93*Rates!$D$6+O93*Rates!$D$9+P93*Rates!$D$8+Q93*Rates!$D$7</f>
        <v/>
      </c>
    </row>
    <row r="94">
      <c r="A94" s="23" t="inlineStr">
        <is>
          <t>Phase 2</t>
        </is>
      </c>
      <c r="B94" s="17" t="inlineStr">
        <is>
          <t>P2-C. Growth &amp; Intelligence</t>
        </is>
      </c>
      <c r="C94" s="17" t="inlineStr">
        <is>
          <t>Smart matching</t>
        </is>
      </c>
      <c r="D94" s="17" t="inlineStr">
        <is>
          <t>Automation</t>
        </is>
      </c>
      <c r="E94" s="19" t="inlineStr">
        <is>
          <t>Predictive staffing demand</t>
        </is>
      </c>
      <c r="F94" s="17" t="inlineStr">
        <is>
          <t>Complex/Critical</t>
        </is>
      </c>
      <c r="G94" s="17" t="n">
        <v>4</v>
      </c>
      <c r="H94" s="17" t="n">
        <v>0</v>
      </c>
      <c r="I94" s="17" t="n">
        <v>0</v>
      </c>
      <c r="J94" s="21">
        <f>SUM(G94:I94)</f>
        <v/>
      </c>
      <c r="K94" s="18">
        <f>VLOOKUP(F94,'AI Factors'!$A$3:$B$9,2,FALSE)</f>
        <v/>
      </c>
      <c r="L94" s="21">
        <f>J94*(1-K94)</f>
        <v/>
      </c>
      <c r="M94" s="21">
        <f>IF(L94=0,0,L94/Rates!$B$15*Rates!$B$21)</f>
        <v/>
      </c>
      <c r="N94" s="21">
        <f>M94*Rates!$B$15</f>
        <v/>
      </c>
      <c r="O94" s="21">
        <f>M94*Rates!$B$13</f>
        <v/>
      </c>
      <c r="P94" s="21">
        <f>M94*Rates!$B$14</f>
        <v/>
      </c>
      <c r="Q94" s="21">
        <f>M94*Rates!$B$16</f>
        <v/>
      </c>
      <c r="R94" s="22">
        <f>N94*Rates!$D$6+O94*Rates!$D$9+P94*Rates!$D$8+Q94*Rates!$D$7</f>
        <v/>
      </c>
    </row>
    <row r="95">
      <c r="A95" s="23" t="inlineStr">
        <is>
          <t>Phase 2</t>
        </is>
      </c>
      <c r="B95" s="17" t="inlineStr">
        <is>
          <t>P2-C. Growth &amp; Intelligence</t>
        </is>
      </c>
      <c r="C95" s="17" t="inlineStr">
        <is>
          <t>Analytics &amp; BI</t>
        </is>
      </c>
      <c r="D95" s="17" t="inlineStr">
        <is>
          <t>Dashboards</t>
        </is>
      </c>
      <c r="E95" s="19" t="inlineStr">
        <is>
          <t>Advanced analytics / BI dashboards</t>
        </is>
      </c>
      <c r="F95" s="17" t="inlineStr">
        <is>
          <t>Business Logic</t>
        </is>
      </c>
      <c r="G95" s="17" t="n">
        <v>4</v>
      </c>
      <c r="H95" s="17" t="n">
        <v>0</v>
      </c>
      <c r="I95" s="17" t="n">
        <v>5</v>
      </c>
      <c r="J95" s="21">
        <f>SUM(G95:I95)</f>
        <v/>
      </c>
      <c r="K95" s="18">
        <f>VLOOKUP(F95,'AI Factors'!$A$3:$B$9,2,FALSE)</f>
        <v/>
      </c>
      <c r="L95" s="21">
        <f>J95*(1-K95)</f>
        <v/>
      </c>
      <c r="M95" s="21">
        <f>IF(L95=0,0,L95/Rates!$B$15*Rates!$B$21)</f>
        <v/>
      </c>
      <c r="N95" s="21">
        <f>M95*Rates!$B$15</f>
        <v/>
      </c>
      <c r="O95" s="21">
        <f>M95*Rates!$B$13</f>
        <v/>
      </c>
      <c r="P95" s="21">
        <f>M95*Rates!$B$14</f>
        <v/>
      </c>
      <c r="Q95" s="21">
        <f>M95*Rates!$B$16</f>
        <v/>
      </c>
      <c r="R95" s="22">
        <f>N95*Rates!$D$6+O95*Rates!$D$9+P95*Rates!$D$8+Q95*Rates!$D$7</f>
        <v/>
      </c>
    </row>
    <row r="96">
      <c r="A96" s="23" t="inlineStr">
        <is>
          <t>Phase 2</t>
        </is>
      </c>
      <c r="B96" s="17" t="inlineStr">
        <is>
          <t>P2-C. Growth &amp; Intelligence</t>
        </is>
      </c>
      <c r="C96" s="17" t="inlineStr">
        <is>
          <t>Analytics &amp; BI</t>
        </is>
      </c>
      <c r="D96" s="17" t="inlineStr">
        <is>
          <t>Dashboards</t>
        </is>
      </c>
      <c r="E96" s="19" t="inlineStr">
        <is>
          <t>Regional performance dashboards</t>
        </is>
      </c>
      <c r="F96" s="17" t="inlineStr">
        <is>
          <t>UI Standard</t>
        </is>
      </c>
      <c r="G96" s="17" t="n">
        <v>2</v>
      </c>
      <c r="H96" s="17" t="n">
        <v>0</v>
      </c>
      <c r="I96" s="17" t="n">
        <v>3</v>
      </c>
      <c r="J96" s="21">
        <f>SUM(G96:I96)</f>
        <v/>
      </c>
      <c r="K96" s="18">
        <f>VLOOKUP(F96,'AI Factors'!$A$3:$B$9,2,FALSE)</f>
        <v/>
      </c>
      <c r="L96" s="21">
        <f>J96*(1-K96)</f>
        <v/>
      </c>
      <c r="M96" s="21">
        <f>IF(L96=0,0,L96/Rates!$B$15*Rates!$B$21)</f>
        <v/>
      </c>
      <c r="N96" s="21">
        <f>M96*Rates!$B$15</f>
        <v/>
      </c>
      <c r="O96" s="21">
        <f>M96*Rates!$B$13</f>
        <v/>
      </c>
      <c r="P96" s="21">
        <f>M96*Rates!$B$14</f>
        <v/>
      </c>
      <c r="Q96" s="21">
        <f>M96*Rates!$B$16</f>
        <v/>
      </c>
      <c r="R96" s="22">
        <f>N96*Rates!$D$6+O96*Rates!$D$9+P96*Rates!$D$8+Q96*Rates!$D$7</f>
        <v/>
      </c>
    </row>
    <row r="97">
      <c r="A97" s="23" t="inlineStr">
        <is>
          <t>Phase 2</t>
        </is>
      </c>
      <c r="B97" s="17" t="inlineStr">
        <is>
          <t>P2-C. Growth &amp; Intelligence</t>
        </is>
      </c>
      <c r="C97" s="17" t="inlineStr">
        <is>
          <t>Analytics &amp; BI</t>
        </is>
      </c>
      <c r="D97" s="17" t="inlineStr">
        <is>
          <t>Dashboards</t>
        </is>
      </c>
      <c r="E97" s="19" t="inlineStr">
        <is>
          <t>Candidate performance scoring</t>
        </is>
      </c>
      <c r="F97" s="17" t="inlineStr">
        <is>
          <t>Business Logic</t>
        </is>
      </c>
      <c r="G97" s="17" t="n">
        <v>3</v>
      </c>
      <c r="H97" s="17" t="n">
        <v>0</v>
      </c>
      <c r="I97" s="17" t="n">
        <v>0</v>
      </c>
      <c r="J97" s="21">
        <f>SUM(G97:I97)</f>
        <v/>
      </c>
      <c r="K97" s="18">
        <f>VLOOKUP(F97,'AI Factors'!$A$3:$B$9,2,FALSE)</f>
        <v/>
      </c>
      <c r="L97" s="21">
        <f>J97*(1-K97)</f>
        <v/>
      </c>
      <c r="M97" s="21">
        <f>IF(L97=0,0,L97/Rates!$B$15*Rates!$B$21)</f>
        <v/>
      </c>
      <c r="N97" s="21">
        <f>M97*Rates!$B$15</f>
        <v/>
      </c>
      <c r="O97" s="21">
        <f>M97*Rates!$B$13</f>
        <v/>
      </c>
      <c r="P97" s="21">
        <f>M97*Rates!$B$14</f>
        <v/>
      </c>
      <c r="Q97" s="21">
        <f>M97*Rates!$B$16</f>
        <v/>
      </c>
      <c r="R97" s="22">
        <f>N97*Rates!$D$6+O97*Rates!$D$9+P97*Rates!$D$8+Q97*Rates!$D$7</f>
        <v/>
      </c>
    </row>
    <row r="98">
      <c r="A98" s="23" t="inlineStr">
        <is>
          <t>Phase 2</t>
        </is>
      </c>
      <c r="B98" s="17" t="inlineStr">
        <is>
          <t>P2-C. Growth &amp; Intelligence</t>
        </is>
      </c>
      <c r="C98" s="17" t="inlineStr">
        <is>
          <t>Engagement</t>
        </is>
      </c>
      <c r="D98" s="17" t="inlineStr">
        <is>
          <t>Worker features</t>
        </is>
      </c>
      <c r="E98" s="19" t="inlineStr">
        <is>
          <t>Ratings depth / 2-way feedback</t>
        </is>
      </c>
      <c r="F98" s="17" t="inlineStr">
        <is>
          <t>Business Logic</t>
        </is>
      </c>
      <c r="G98" s="17" t="n">
        <v>2</v>
      </c>
      <c r="H98" s="17" t="n">
        <v>3</v>
      </c>
      <c r="I98" s="17" t="n">
        <v>0</v>
      </c>
      <c r="J98" s="21">
        <f>SUM(G98:I98)</f>
        <v/>
      </c>
      <c r="K98" s="18">
        <f>VLOOKUP(F98,'AI Factors'!$A$3:$B$9,2,FALSE)</f>
        <v/>
      </c>
      <c r="L98" s="21">
        <f>J98*(1-K98)</f>
        <v/>
      </c>
      <c r="M98" s="21">
        <f>IF(L98=0,0,L98/Rates!$B$15*Rates!$B$21)</f>
        <v/>
      </c>
      <c r="N98" s="21">
        <f>M98*Rates!$B$15</f>
        <v/>
      </c>
      <c r="O98" s="21">
        <f>M98*Rates!$B$13</f>
        <v/>
      </c>
      <c r="P98" s="21">
        <f>M98*Rates!$B$14</f>
        <v/>
      </c>
      <c r="Q98" s="21">
        <f>M98*Rates!$B$16</f>
        <v/>
      </c>
      <c r="R98" s="22">
        <f>N98*Rates!$D$6+O98*Rates!$D$9+P98*Rates!$D$8+Q98*Rates!$D$7</f>
        <v/>
      </c>
    </row>
    <row r="99">
      <c r="A99" s="23" t="inlineStr">
        <is>
          <t>Phase 2</t>
        </is>
      </c>
      <c r="B99" s="17" t="inlineStr">
        <is>
          <t>P2-C. Growth &amp; Intelligence</t>
        </is>
      </c>
      <c r="C99" s="17" t="inlineStr">
        <is>
          <t>Engagement</t>
        </is>
      </c>
      <c r="D99" s="17" t="inlineStr">
        <is>
          <t>Worker features</t>
        </is>
      </c>
      <c r="E99" s="19" t="inlineStr">
        <is>
          <t>Referral programme</t>
        </is>
      </c>
      <c r="F99" s="17" t="inlineStr">
        <is>
          <t>Business Logic</t>
        </is>
      </c>
      <c r="G99" s="17" t="n">
        <v>3</v>
      </c>
      <c r="H99" s="17" t="n">
        <v>3</v>
      </c>
      <c r="I99" s="17" t="n">
        <v>0</v>
      </c>
      <c r="J99" s="21">
        <f>SUM(G99:I99)</f>
        <v/>
      </c>
      <c r="K99" s="18">
        <f>VLOOKUP(F99,'AI Factors'!$A$3:$B$9,2,FALSE)</f>
        <v/>
      </c>
      <c r="L99" s="21">
        <f>J99*(1-K99)</f>
        <v/>
      </c>
      <c r="M99" s="21">
        <f>IF(L99=0,0,L99/Rates!$B$15*Rates!$B$21)</f>
        <v/>
      </c>
      <c r="N99" s="21">
        <f>M99*Rates!$B$15</f>
        <v/>
      </c>
      <c r="O99" s="21">
        <f>M99*Rates!$B$13</f>
        <v/>
      </c>
      <c r="P99" s="21">
        <f>M99*Rates!$B$14</f>
        <v/>
      </c>
      <c r="Q99" s="21">
        <f>M99*Rates!$B$16</f>
        <v/>
      </c>
      <c r="R99" s="22">
        <f>N99*Rates!$D$6+O99*Rates!$D$9+P99*Rates!$D$8+Q99*Rates!$D$7</f>
        <v/>
      </c>
    </row>
    <row r="100">
      <c r="A100" s="23" t="inlineStr">
        <is>
          <t>Phase 2</t>
        </is>
      </c>
      <c r="B100" s="17" t="inlineStr">
        <is>
          <t>P2-C. Growth &amp; Intelligence</t>
        </is>
      </c>
      <c r="C100" s="17" t="inlineStr">
        <is>
          <t>Engagement</t>
        </is>
      </c>
      <c r="D100" s="17" t="inlineStr">
        <is>
          <t>Worker features</t>
        </is>
      </c>
      <c r="E100" s="19" t="inlineStr">
        <is>
          <t>In-app training / onboarding modules</t>
        </is>
      </c>
      <c r="F100" s="17" t="inlineStr">
        <is>
          <t>UI Standard</t>
        </is>
      </c>
      <c r="G100" s="17" t="n">
        <v>2</v>
      </c>
      <c r="H100" s="17" t="n">
        <v>4</v>
      </c>
      <c r="I100" s="17" t="n">
        <v>0</v>
      </c>
      <c r="J100" s="21">
        <f>SUM(G100:I100)</f>
        <v/>
      </c>
      <c r="K100" s="18">
        <f>VLOOKUP(F100,'AI Factors'!$A$3:$B$9,2,FALSE)</f>
        <v/>
      </c>
      <c r="L100" s="21">
        <f>J100*(1-K100)</f>
        <v/>
      </c>
      <c r="M100" s="21">
        <f>IF(L100=0,0,L100/Rates!$B$15*Rates!$B$21)</f>
        <v/>
      </c>
      <c r="N100" s="21">
        <f>M100*Rates!$B$15</f>
        <v/>
      </c>
      <c r="O100" s="21">
        <f>M100*Rates!$B$13</f>
        <v/>
      </c>
      <c r="P100" s="21">
        <f>M100*Rates!$B$14</f>
        <v/>
      </c>
      <c r="Q100" s="21">
        <f>M100*Rates!$B$16</f>
        <v/>
      </c>
      <c r="R100" s="22">
        <f>N100*Rates!$D$6+O100*Rates!$D$9+P100*Rates!$D$8+Q100*Rates!$D$7</f>
        <v/>
      </c>
    </row>
    <row r="101">
      <c r="A101" s="23" t="inlineStr">
        <is>
          <t>Phase 2</t>
        </is>
      </c>
      <c r="B101" s="17" t="inlineStr">
        <is>
          <t>P2-C. Growth &amp; Intelligence</t>
        </is>
      </c>
      <c r="C101" s="17" t="inlineStr">
        <is>
          <t>Engagement</t>
        </is>
      </c>
      <c r="D101" s="17" t="inlineStr">
        <is>
          <t>Worker features</t>
        </is>
      </c>
      <c r="E101" s="19" t="inlineStr">
        <is>
          <t>Worker rewards</t>
        </is>
      </c>
      <c r="F101" s="17" t="inlineStr">
        <is>
          <t>Business Logic</t>
        </is>
      </c>
      <c r="G101" s="17" t="n">
        <v>3</v>
      </c>
      <c r="H101" s="17" t="n">
        <v>2</v>
      </c>
      <c r="I101" s="17" t="n">
        <v>0</v>
      </c>
      <c r="J101" s="21">
        <f>SUM(G101:I101)</f>
        <v/>
      </c>
      <c r="K101" s="18">
        <f>VLOOKUP(F101,'AI Factors'!$A$3:$B$9,2,FALSE)</f>
        <v/>
      </c>
      <c r="L101" s="21">
        <f>J101*(1-K101)</f>
        <v/>
      </c>
      <c r="M101" s="21">
        <f>IF(L101=0,0,L101/Rates!$B$15*Rates!$B$21)</f>
        <v/>
      </c>
      <c r="N101" s="21">
        <f>M101*Rates!$B$15</f>
        <v/>
      </c>
      <c r="O101" s="21">
        <f>M101*Rates!$B$13</f>
        <v/>
      </c>
      <c r="P101" s="21">
        <f>M101*Rates!$B$14</f>
        <v/>
      </c>
      <c r="Q101" s="21">
        <f>M101*Rates!$B$16</f>
        <v/>
      </c>
      <c r="R101" s="22">
        <f>N101*Rates!$D$6+O101*Rates!$D$9+P101*Rates!$D$8+Q101*Rates!$D$7</f>
        <v/>
      </c>
    </row>
    <row r="102">
      <c r="A102" s="23" t="inlineStr">
        <is>
          <t>Phase 2</t>
        </is>
      </c>
      <c r="B102" s="17" t="inlineStr">
        <is>
          <t>P2-C. Growth &amp; Intelligence</t>
        </is>
      </c>
      <c r="C102" s="17" t="inlineStr">
        <is>
          <t>Engagement</t>
        </is>
      </c>
      <c r="D102" s="17" t="inlineStr">
        <is>
          <t>Worker features</t>
        </is>
      </c>
      <c r="E102" s="19" t="inlineStr">
        <is>
          <t>Calendar integration</t>
        </is>
      </c>
      <c r="F102" s="17" t="inlineStr">
        <is>
          <t>Integration</t>
        </is>
      </c>
      <c r="G102" s="17" t="n">
        <v>2</v>
      </c>
      <c r="H102" s="17" t="n">
        <v>3</v>
      </c>
      <c r="I102" s="17" t="n">
        <v>0</v>
      </c>
      <c r="J102" s="21">
        <f>SUM(G102:I102)</f>
        <v/>
      </c>
      <c r="K102" s="18">
        <f>VLOOKUP(F102,'AI Factors'!$A$3:$B$9,2,FALSE)</f>
        <v/>
      </c>
      <c r="L102" s="21">
        <f>J102*(1-K102)</f>
        <v/>
      </c>
      <c r="M102" s="21">
        <f>IF(L102=0,0,L102/Rates!$B$15*Rates!$B$21)</f>
        <v/>
      </c>
      <c r="N102" s="21">
        <f>M102*Rates!$B$15</f>
        <v/>
      </c>
      <c r="O102" s="21">
        <f>M102*Rates!$B$13</f>
        <v/>
      </c>
      <c r="P102" s="21">
        <f>M102*Rates!$B$14</f>
        <v/>
      </c>
      <c r="Q102" s="21">
        <f>M102*Rates!$B$16</f>
        <v/>
      </c>
      <c r="R102" s="22">
        <f>N102*Rates!$D$6+O102*Rates!$D$9+P102*Rates!$D$8+Q102*Rates!$D$7</f>
        <v/>
      </c>
    </row>
    <row r="103">
      <c r="A103" s="23" t="inlineStr">
        <is>
          <t>Phase 2</t>
        </is>
      </c>
      <c r="B103" s="17" t="inlineStr">
        <is>
          <t>P2-D. Advanced Compliance &amp; Talent</t>
        </is>
      </c>
      <c r="C103" s="17" t="inlineStr">
        <is>
          <t>Full DBS engine</t>
        </is>
      </c>
      <c r="D103" s="17" t="inlineStr">
        <is>
          <t>Automation</t>
        </is>
      </c>
      <c r="E103" s="19" t="inlineStr">
        <is>
          <t>DBS Update Service API integration</t>
        </is>
      </c>
      <c r="F103" s="17" t="inlineStr">
        <is>
          <t>Integration</t>
        </is>
      </c>
      <c r="G103" s="17" t="n">
        <v>5</v>
      </c>
      <c r="H103" s="17" t="n">
        <v>0</v>
      </c>
      <c r="I103" s="17" t="n">
        <v>0</v>
      </c>
      <c r="J103" s="21">
        <f>SUM(G103:I103)</f>
        <v/>
      </c>
      <c r="K103" s="18">
        <f>VLOOKUP(F103,'AI Factors'!$A$3:$B$9,2,FALSE)</f>
        <v/>
      </c>
      <c r="L103" s="21">
        <f>J103*(1-K103)</f>
        <v/>
      </c>
      <c r="M103" s="21">
        <f>IF(L103=0,0,L103/Rates!$B$15*Rates!$B$21)</f>
        <v/>
      </c>
      <c r="N103" s="21">
        <f>M103*Rates!$B$15</f>
        <v/>
      </c>
      <c r="O103" s="21">
        <f>M103*Rates!$B$13</f>
        <v/>
      </c>
      <c r="P103" s="21">
        <f>M103*Rates!$B$14</f>
        <v/>
      </c>
      <c r="Q103" s="21">
        <f>M103*Rates!$B$16</f>
        <v/>
      </c>
      <c r="R103" s="22">
        <f>N103*Rates!$D$6+O103*Rates!$D$9+P103*Rates!$D$8+Q103*Rates!$D$7</f>
        <v/>
      </c>
    </row>
    <row r="104">
      <c r="A104" s="23" t="inlineStr">
        <is>
          <t>Phase 2</t>
        </is>
      </c>
      <c r="B104" s="17" t="inlineStr">
        <is>
          <t>P2-D. Advanced Compliance &amp; Talent</t>
        </is>
      </c>
      <c r="C104" s="17" t="inlineStr">
        <is>
          <t>Full DBS engine</t>
        </is>
      </c>
      <c r="D104" s="17" t="inlineStr">
        <is>
          <t>Automation</t>
        </is>
      </c>
      <c r="E104" s="19" t="inlineStr">
        <is>
          <t>Barred-list check</t>
        </is>
      </c>
      <c r="F104" s="17" t="inlineStr">
        <is>
          <t>Integration</t>
        </is>
      </c>
      <c r="G104" s="17" t="n">
        <v>3</v>
      </c>
      <c r="H104" s="17" t="n">
        <v>0</v>
      </c>
      <c r="I104" s="17" t="n">
        <v>0</v>
      </c>
      <c r="J104" s="21">
        <f>SUM(G104:I104)</f>
        <v/>
      </c>
      <c r="K104" s="18">
        <f>VLOOKUP(F104,'AI Factors'!$A$3:$B$9,2,FALSE)</f>
        <v/>
      </c>
      <c r="L104" s="21">
        <f>J104*(1-K104)</f>
        <v/>
      </c>
      <c r="M104" s="21">
        <f>IF(L104=0,0,L104/Rates!$B$15*Rates!$B$21)</f>
        <v/>
      </c>
      <c r="N104" s="21">
        <f>M104*Rates!$B$15</f>
        <v/>
      </c>
      <c r="O104" s="21">
        <f>M104*Rates!$B$13</f>
        <v/>
      </c>
      <c r="P104" s="21">
        <f>M104*Rates!$B$14</f>
        <v/>
      </c>
      <c r="Q104" s="21">
        <f>M104*Rates!$B$16</f>
        <v/>
      </c>
      <c r="R104" s="22">
        <f>N104*Rates!$D$6+O104*Rates!$D$9+P104*Rates!$D$8+Q104*Rates!$D$7</f>
        <v/>
      </c>
    </row>
    <row r="105">
      <c r="A105" s="23" t="inlineStr">
        <is>
          <t>Phase 2</t>
        </is>
      </c>
      <c r="B105" s="17" t="inlineStr">
        <is>
          <t>P2-D. Advanced Compliance &amp; Talent</t>
        </is>
      </c>
      <c r="C105" s="17" t="inlineStr">
        <is>
          <t>Full DBS engine</t>
        </is>
      </c>
      <c r="D105" s="17" t="inlineStr">
        <is>
          <t>Automation</t>
        </is>
      </c>
      <c r="E105" s="19" t="inlineStr">
        <is>
          <t>Automated compliance reminders</t>
        </is>
      </c>
      <c r="F105" s="17" t="inlineStr">
        <is>
          <t>Business Logic</t>
        </is>
      </c>
      <c r="G105" s="17" t="n">
        <v>2</v>
      </c>
      <c r="H105" s="17" t="n">
        <v>1</v>
      </c>
      <c r="I105" s="17" t="n">
        <v>0</v>
      </c>
      <c r="J105" s="21">
        <f>SUM(G105:I105)</f>
        <v/>
      </c>
      <c r="K105" s="18">
        <f>VLOOKUP(F105,'AI Factors'!$A$3:$B$9,2,FALSE)</f>
        <v/>
      </c>
      <c r="L105" s="21">
        <f>J105*(1-K105)</f>
        <v/>
      </c>
      <c r="M105" s="21">
        <f>IF(L105=0,0,L105/Rates!$B$15*Rates!$B$21)</f>
        <v/>
      </c>
      <c r="N105" s="21">
        <f>M105*Rates!$B$15</f>
        <v/>
      </c>
      <c r="O105" s="21">
        <f>M105*Rates!$B$13</f>
        <v/>
      </c>
      <c r="P105" s="21">
        <f>M105*Rates!$B$14</f>
        <v/>
      </c>
      <c r="Q105" s="21">
        <f>M105*Rates!$B$16</f>
        <v/>
      </c>
      <c r="R105" s="22">
        <f>N105*Rates!$D$6+O105*Rates!$D$9+P105*Rates!$D$8+Q105*Rates!$D$7</f>
        <v/>
      </c>
    </row>
    <row r="106">
      <c r="A106" s="23" t="inlineStr">
        <is>
          <t>Phase 2</t>
        </is>
      </c>
      <c r="B106" s="17" t="inlineStr">
        <is>
          <t>P2-D. Advanced Compliance &amp; Talent</t>
        </is>
      </c>
      <c r="C106" s="17" t="inlineStr">
        <is>
          <t>Talent</t>
        </is>
      </c>
      <c r="D106" s="17" t="inlineStr">
        <is>
          <t>Pools &amp; self-serve</t>
        </is>
      </c>
      <c r="E106" s="19" t="inlineStr">
        <is>
          <t>Talent pools by city/brand</t>
        </is>
      </c>
      <c r="F106" s="17" t="inlineStr">
        <is>
          <t>Business Logic</t>
        </is>
      </c>
      <c r="G106" s="17" t="n">
        <v>3</v>
      </c>
      <c r="H106" s="17" t="n">
        <v>2</v>
      </c>
      <c r="I106" s="17" t="n">
        <v>1</v>
      </c>
      <c r="J106" s="21">
        <f>SUM(G106:I106)</f>
        <v/>
      </c>
      <c r="K106" s="18">
        <f>VLOOKUP(F106,'AI Factors'!$A$3:$B$9,2,FALSE)</f>
        <v/>
      </c>
      <c r="L106" s="21">
        <f>J106*(1-K106)</f>
        <v/>
      </c>
      <c r="M106" s="21">
        <f>IF(L106=0,0,L106/Rates!$B$15*Rates!$B$21)</f>
        <v/>
      </c>
      <c r="N106" s="21">
        <f>M106*Rates!$B$15</f>
        <v/>
      </c>
      <c r="O106" s="21">
        <f>M106*Rates!$B$13</f>
        <v/>
      </c>
      <c r="P106" s="21">
        <f>M106*Rates!$B$14</f>
        <v/>
      </c>
      <c r="Q106" s="21">
        <f>M106*Rates!$B$16</f>
        <v/>
      </c>
      <c r="R106" s="22">
        <f>N106*Rates!$D$6+O106*Rates!$D$9+P106*Rates!$D$8+Q106*Rates!$D$7</f>
        <v/>
      </c>
    </row>
    <row r="107">
      <c r="A107" s="23" t="inlineStr">
        <is>
          <t>Phase 2</t>
        </is>
      </c>
      <c r="B107" s="17" t="inlineStr">
        <is>
          <t>P2-D. Advanced Compliance &amp; Talent</t>
        </is>
      </c>
      <c r="C107" s="17" t="inlineStr">
        <is>
          <t>Talent</t>
        </is>
      </c>
      <c r="D107" s="17" t="inlineStr">
        <is>
          <t>Pools &amp; self-serve</t>
        </is>
      </c>
      <c r="E107" s="19" t="inlineStr">
        <is>
          <t>Client self-serve booking</t>
        </is>
      </c>
      <c r="F107" s="17" t="inlineStr">
        <is>
          <t>Business Logic</t>
        </is>
      </c>
      <c r="G107" s="17" t="n">
        <v>4</v>
      </c>
      <c r="H107" s="17" t="n">
        <v>2</v>
      </c>
      <c r="I107" s="17" t="n">
        <v>2</v>
      </c>
      <c r="J107" s="21">
        <f>SUM(G107:I107)</f>
        <v/>
      </c>
      <c r="K107" s="18">
        <f>VLOOKUP(F107,'AI Factors'!$A$3:$B$9,2,FALSE)</f>
        <v/>
      </c>
      <c r="L107" s="21">
        <f>J107*(1-K107)</f>
        <v/>
      </c>
      <c r="M107" s="21">
        <f>IF(L107=0,0,L107/Rates!$B$15*Rates!$B$21)</f>
        <v/>
      </c>
      <c r="N107" s="21">
        <f>M107*Rates!$B$15</f>
        <v/>
      </c>
      <c r="O107" s="21">
        <f>M107*Rates!$B$13</f>
        <v/>
      </c>
      <c r="P107" s="21">
        <f>M107*Rates!$B$14</f>
        <v/>
      </c>
      <c r="Q107" s="21">
        <f>M107*Rates!$B$16</f>
        <v/>
      </c>
      <c r="R107" s="22">
        <f>N107*Rates!$D$6+O107*Rates!$D$9+P107*Rates!$D$8+Q107*Rates!$D$7</f>
        <v/>
      </c>
    </row>
    <row r="108">
      <c r="A108" s="23" t="inlineStr">
        <is>
          <t>Phase 2</t>
        </is>
      </c>
      <c r="B108" s="17" t="inlineStr">
        <is>
          <t>P2-D. Advanced Compliance &amp; Talent</t>
        </is>
      </c>
      <c r="C108" s="17" t="inlineStr">
        <is>
          <t>Talent</t>
        </is>
      </c>
      <c r="D108" s="17" t="inlineStr">
        <is>
          <t>Pools &amp; self-serve</t>
        </is>
      </c>
      <c r="E108" s="19" t="inlineStr">
        <is>
          <t>Additional brand onboarding (multi-tenant)</t>
        </is>
      </c>
      <c r="F108" s="17" t="inlineStr">
        <is>
          <t>Business Logic</t>
        </is>
      </c>
      <c r="G108" s="17" t="n">
        <v>4</v>
      </c>
      <c r="H108" s="17" t="n">
        <v>0</v>
      </c>
      <c r="I108" s="17" t="n">
        <v>1</v>
      </c>
      <c r="J108" s="21">
        <f>SUM(G108:I108)</f>
        <v/>
      </c>
      <c r="K108" s="18">
        <f>VLOOKUP(F108,'AI Factors'!$A$3:$B$9,2,FALSE)</f>
        <v/>
      </c>
      <c r="L108" s="21">
        <f>J108*(1-K108)</f>
        <v/>
      </c>
      <c r="M108" s="21">
        <f>IF(L108=0,0,L108/Rates!$B$15*Rates!$B$21)</f>
        <v/>
      </c>
      <c r="N108" s="21">
        <f>M108*Rates!$B$15</f>
        <v/>
      </c>
      <c r="O108" s="21">
        <f>M108*Rates!$B$13</f>
        <v/>
      </c>
      <c r="P108" s="21">
        <f>M108*Rates!$B$14</f>
        <v/>
      </c>
      <c r="Q108" s="21">
        <f>M108*Rates!$B$16</f>
        <v/>
      </c>
      <c r="R108" s="22">
        <f>N108*Rates!$D$6+O108*Rates!$D$9+P108*Rates!$D$8+Q108*Rates!$D$7</f>
        <v/>
      </c>
    </row>
    <row r="109">
      <c r="A109" s="24" t="inlineStr">
        <is>
          <t>TOTAL</t>
        </is>
      </c>
      <c r="B109" s="24" t="n"/>
      <c r="C109" s="24" t="n"/>
      <c r="D109" s="24" t="n"/>
      <c r="E109" s="24" t="n"/>
      <c r="F109" s="24" t="n"/>
      <c r="G109" s="25">
        <f>SUM(G2:G108)</f>
        <v/>
      </c>
      <c r="H109" s="25">
        <f>SUM(H2:H108)</f>
        <v/>
      </c>
      <c r="I109" s="25">
        <f>SUM(I2:I108)</f>
        <v/>
      </c>
      <c r="J109" s="25">
        <f>SUM(J2:J108)</f>
        <v/>
      </c>
      <c r="K109" s="24" t="n"/>
      <c r="L109" s="25">
        <f>SUM(L2:L108)</f>
        <v/>
      </c>
      <c r="M109" s="25">
        <f>SUM(M2:M108)</f>
        <v/>
      </c>
      <c r="N109" s="25">
        <f>SUM(N2:N108)</f>
        <v/>
      </c>
      <c r="O109" s="25">
        <f>SUM(O2:O108)</f>
        <v/>
      </c>
      <c r="P109" s="25">
        <f>SUM(P2:P108)</f>
        <v/>
      </c>
      <c r="Q109" s="25">
        <f>SUM(Q2:Q108)</f>
        <v/>
      </c>
      <c r="R109" s="26">
        <f>SUM(R2:R108)</f>
        <v/>
      </c>
    </row>
  </sheetData>
  <autoFilter ref="A1:R108"/>
  <dataValidations count="2">
    <dataValidation sqref="F2:F108" showDropDown="0" showInputMessage="0" showErrorMessage="0" allowBlank="0" type="list">
      <formula1>'AI Factors'!$A$3:$A$9</formula1>
    </dataValidation>
    <dataValidation sqref="A2:A108" showDropDown="0" showInputMessage="0" showErrorMessage="0" allowBlank="0" type="list">
      <formula1>"MVP,Phase 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27" t="inlineStr">
        <is>
          <t>SUMMARY</t>
        </is>
      </c>
    </row>
    <row r="3">
      <c r="A3" s="4" t="inlineStr">
        <is>
          <t>MVP (delivery efficiency applied)</t>
        </is>
      </c>
    </row>
    <row r="4">
      <c r="A4" s="8" t="inlineStr"/>
      <c r="B4" s="8" t="inlineStr">
        <is>
          <t>Total md</t>
        </is>
      </c>
      <c r="C4" s="8" t="inlineStr">
        <is>
          <t>Coding md</t>
        </is>
      </c>
      <c r="D4" s="8" t="inlineStr">
        <is>
          <t>Cost</t>
        </is>
      </c>
    </row>
    <row r="5">
      <c r="A5" t="inlineStr">
        <is>
          <t>Effort &amp; cost</t>
        </is>
      </c>
      <c r="B5" s="28">
        <f>SUMIFS(WBS!$M$2:$M$108,WBS!$A$2:$A$108,"MVP")</f>
        <v/>
      </c>
      <c r="C5" s="28">
        <f>SUMIFS(WBS!$N$2:$N$108,WBS!$A$2:$A$108,"MVP")</f>
        <v/>
      </c>
      <c r="D5" s="29">
        <f>SUMIFS(WBS!$R$2:$R$108,WBS!$A$2:$A$108,"MVP")</f>
        <v/>
      </c>
    </row>
    <row r="6">
      <c r="A6" t="inlineStr">
        <is>
          <t>+ Contingency 12%</t>
        </is>
      </c>
      <c r="B6" s="28">
        <f>B5*Rates!$B$19</f>
        <v/>
      </c>
      <c r="D6" s="29">
        <f>D5*Rates!$B$19</f>
        <v/>
      </c>
    </row>
    <row r="7">
      <c r="A7" s="30" t="inlineStr">
        <is>
          <t>GRAND TOTAL</t>
        </is>
      </c>
      <c r="B7" s="31">
        <f>B5+B6</f>
        <v/>
      </c>
      <c r="C7" s="32" t="n"/>
      <c r="D7" s="33">
        <f>D5+D6</f>
        <v/>
      </c>
    </row>
    <row r="9">
      <c r="A9" s="4" t="inlineStr">
        <is>
          <t>PHASE 2 (delivery efficiency applied)</t>
        </is>
      </c>
    </row>
    <row r="10">
      <c r="A10" s="8" t="inlineStr"/>
      <c r="B10" s="8" t="inlineStr">
        <is>
          <t>Total md</t>
        </is>
      </c>
      <c r="C10" s="8" t="inlineStr">
        <is>
          <t>Coding md</t>
        </is>
      </c>
      <c r="D10" s="8" t="inlineStr">
        <is>
          <t>Cost</t>
        </is>
      </c>
    </row>
    <row r="11">
      <c r="A11" t="inlineStr">
        <is>
          <t>Effort &amp; cost</t>
        </is>
      </c>
      <c r="B11" s="28">
        <f>SUMIFS(WBS!$M$2:$M$108,WBS!$A$2:$A$108,"Phase 2")</f>
        <v/>
      </c>
      <c r="C11" s="28">
        <f>SUMIFS(WBS!$N$2:$N$108,WBS!$A$2:$A$108,"Phase 2")</f>
        <v/>
      </c>
      <c r="D11" s="29">
        <f>SUMIFS(WBS!$R$2:$R$108,WBS!$A$2:$A$108,"Phase 2")</f>
        <v/>
      </c>
    </row>
    <row r="12">
      <c r="A12" t="inlineStr">
        <is>
          <t>+ Contingency 12%</t>
        </is>
      </c>
      <c r="B12" s="28">
        <f>B11*Rates!$B$19</f>
        <v/>
      </c>
      <c r="D12" s="29">
        <f>D11*Rates!$B$19</f>
        <v/>
      </c>
    </row>
    <row r="13">
      <c r="A13" s="30" t="inlineStr">
        <is>
          <t>GRAND TOTAL</t>
        </is>
      </c>
      <c r="B13" s="31">
        <f>B11+B12</f>
        <v/>
      </c>
      <c r="C13" s="32" t="n"/>
      <c r="D13" s="33">
        <f>D11+D12</f>
        <v/>
      </c>
    </row>
    <row r="15">
      <c r="A15" s="4" t="inlineStr">
        <is>
          <t>MVP + PHASE 2 (combined)</t>
        </is>
      </c>
    </row>
    <row r="16">
      <c r="A16" s="32" t="inlineStr">
        <is>
          <t>Grand total md</t>
        </is>
      </c>
      <c r="B16" s="31">
        <f>SUM(WBS!M2:M108)*(1+Rates!$B$19)</f>
        <v/>
      </c>
      <c r="D16" s="33">
        <f>SUM(WBS!R2:R108)*(1+Rates!$B$19)</f>
        <v/>
      </c>
    </row>
    <row r="18">
      <c r="A18" s="8" t="inlineStr">
        <is>
          <t>Per-EPIC rollup</t>
        </is>
      </c>
      <c r="B18" s="8" t="inlineStr">
        <is>
          <t>Total md</t>
        </is>
      </c>
      <c r="C18" s="8" t="inlineStr">
        <is>
          <t>Cost</t>
        </is>
      </c>
    </row>
    <row r="19">
      <c r="A19" t="inlineStr">
        <is>
          <t>A. Platform Hardening &amp; Security</t>
        </is>
      </c>
      <c r="B19" s="28">
        <f>SUMIF(WBS!$B$2:$B$108,A19,WBS!$M$2:$M$108)</f>
        <v/>
      </c>
      <c r="C19" s="29">
        <f>SUMIF(WBS!$B$2:$B$108,A19,WBS!$R$2:$R$108)</f>
        <v/>
      </c>
    </row>
    <row r="20">
      <c r="A20" t="inlineStr">
        <is>
          <t>B. Payments Integrity &amp; Reliability</t>
        </is>
      </c>
      <c r="B20" s="28">
        <f>SUMIF(WBS!$B$2:$B$108,A20,WBS!$M$2:$M$108)</f>
        <v/>
      </c>
      <c r="C20" s="29">
        <f>SUMIF(WBS!$B$2:$B$108,A20,WBS!$R$2:$R$108)</f>
        <v/>
      </c>
    </row>
    <row r="21">
      <c r="A21" t="inlineStr">
        <is>
          <t>C. Booking &amp; Allocation</t>
        </is>
      </c>
      <c r="B21" s="28">
        <f>SUMIF(WBS!$B$2:$B$108,A21,WBS!$M$2:$M$108)</f>
        <v/>
      </c>
      <c r="C21" s="29">
        <f>SUMIF(WBS!$B$2:$B$108,A21,WBS!$R$2:$R$108)</f>
        <v/>
      </c>
    </row>
    <row r="22">
      <c r="A22" t="inlineStr">
        <is>
          <t>D. Timesheet &amp; Billing Rewire</t>
        </is>
      </c>
      <c r="B22" s="28">
        <f>SUMIF(WBS!$B$2:$B$108,A22,WBS!$M$2:$M$108)</f>
        <v/>
      </c>
      <c r="C22" s="29">
        <f>SUMIF(WBS!$B$2:$B$108,A22,WBS!$R$2:$R$108)</f>
        <v/>
      </c>
    </row>
    <row r="23">
      <c r="A23" t="inlineStr">
        <is>
          <t>E. Availability &amp; Matching</t>
        </is>
      </c>
      <c r="B23" s="28">
        <f>SUMIF(WBS!$B$2:$B$108,A23,WBS!$M$2:$M$108)</f>
        <v/>
      </c>
      <c r="C23" s="29">
        <f>SUMIF(WBS!$B$2:$B$108,A23,WBS!$R$2:$R$108)</f>
        <v/>
      </c>
    </row>
    <row r="24">
      <c r="A24" t="inlineStr">
        <is>
          <t>F. Compliance (Yedi DBS/Safeguarding)</t>
        </is>
      </c>
      <c r="B24" s="28">
        <f>SUMIF(WBS!$B$2:$B$108,A24,WBS!$M$2:$M$108)</f>
        <v/>
      </c>
      <c r="C24" s="29">
        <f>SUMIF(WBS!$B$2:$B$108,A24,WBS!$R$2:$R$108)</f>
        <v/>
      </c>
    </row>
    <row r="25">
      <c r="A25" t="inlineStr">
        <is>
          <t>G. Payroll (Umbrella)</t>
        </is>
      </c>
      <c r="B25" s="28">
        <f>SUMIF(WBS!$B$2:$B$108,A25,WBS!$M$2:$M$108)</f>
        <v/>
      </c>
      <c r="C25" s="29">
        <f>SUMIF(WBS!$B$2:$B$108,A25,WBS!$R$2:$R$108)</f>
        <v/>
      </c>
    </row>
    <row r="26">
      <c r="A26" t="inlineStr">
        <is>
          <t>H. Reporting &amp; Brand-Policy</t>
        </is>
      </c>
      <c r="B26" s="28">
        <f>SUMIF(WBS!$B$2:$B$108,A26,WBS!$M$2:$M$108)</f>
        <v/>
      </c>
      <c r="C26" s="29">
        <f>SUMIF(WBS!$B$2:$B$108,A26,WBS!$R$2:$R$108)</f>
        <v/>
      </c>
    </row>
    <row r="27">
      <c r="A27" t="inlineStr">
        <is>
          <t>I. Cross-Cutting UX &amp; Platform</t>
        </is>
      </c>
      <c r="B27" s="28">
        <f>SUMIF(WBS!$B$2:$B$108,A27,WBS!$M$2:$M$108)</f>
        <v/>
      </c>
      <c r="C27" s="29">
        <f>SUMIF(WBS!$B$2:$B$108,A27,WBS!$R$2:$R$108)</f>
        <v/>
      </c>
    </row>
    <row r="28">
      <c r="A28" t="inlineStr">
        <is>
          <t>P2-A. Scale &amp; Operations</t>
        </is>
      </c>
      <c r="B28" s="28">
        <f>SUMIF(WBS!$B$2:$B$108,A28,WBS!$M$2:$M$108)</f>
        <v/>
      </c>
      <c r="C28" s="29">
        <f>SUMIF(WBS!$B$2:$B$108,A28,WBS!$R$2:$R$108)</f>
        <v/>
      </c>
    </row>
    <row r="29">
      <c r="A29" t="inlineStr">
        <is>
          <t>P2-B. Revenue &amp; Payments</t>
        </is>
      </c>
      <c r="B29" s="28">
        <f>SUMIF(WBS!$B$2:$B$108,A29,WBS!$M$2:$M$108)</f>
        <v/>
      </c>
      <c r="C29" s="29">
        <f>SUMIF(WBS!$B$2:$B$108,A29,WBS!$R$2:$R$108)</f>
        <v/>
      </c>
    </row>
    <row r="30">
      <c r="A30" t="inlineStr">
        <is>
          <t>P2-C. Growth &amp; Intelligence</t>
        </is>
      </c>
      <c r="B30" s="28">
        <f>SUMIF(WBS!$B$2:$B$108,A30,WBS!$M$2:$M$108)</f>
        <v/>
      </c>
      <c r="C30" s="29">
        <f>SUMIF(WBS!$B$2:$B$108,A30,WBS!$R$2:$R$108)</f>
        <v/>
      </c>
    </row>
    <row r="31">
      <c r="A31" t="inlineStr">
        <is>
          <t>P2-D. Advanced Compliance &amp; Talent</t>
        </is>
      </c>
      <c r="B31" s="28">
        <f>SUMIF(WBS!$B$2:$B$108,A31,WBS!$M$2:$M$108)</f>
        <v/>
      </c>
      <c r="C31" s="29">
        <f>SUMIF(WBS!$B$2:$B$108,A31,WBS!$R$2:$R$108)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52" customWidth="1" min="4" max="4"/>
  </cols>
  <sheetData>
    <row r="1">
      <c r="A1" s="16" t="inlineStr">
        <is>
          <t>Category</t>
        </is>
      </c>
      <c r="B1" s="16" t="inlineStr">
        <is>
          <t>Commonly-missed item</t>
        </is>
      </c>
      <c r="C1" s="16" t="inlineStr">
        <is>
          <t>In WBS?</t>
        </is>
      </c>
      <c r="D1" s="16" t="inlineStr">
        <is>
          <t>Where / Note</t>
        </is>
      </c>
    </row>
    <row r="2">
      <c r="A2" s="17" t="inlineStr">
        <is>
          <t>Account</t>
        </is>
      </c>
      <c r="B2" s="17" t="inlineStr">
        <is>
          <t>Account deletion (self-serve)</t>
        </is>
      </c>
      <c r="C2" s="34" t="inlineStr">
        <is>
          <t>Yes</t>
        </is>
      </c>
      <c r="D2" s="19" t="inlineStr">
        <is>
          <t>MVP EPIC A</t>
        </is>
      </c>
    </row>
    <row r="3">
      <c r="A3" s="17" t="inlineStr">
        <is>
          <t>Account</t>
        </is>
      </c>
      <c r="B3" s="17" t="inlineStr">
        <is>
          <t>Deactivation/reactivation</t>
        </is>
      </c>
      <c r="C3" s="34" t="inlineStr">
        <is>
          <t>Yes</t>
        </is>
      </c>
      <c r="D3" s="19" t="inlineStr">
        <is>
          <t>MVP EPIC A</t>
        </is>
      </c>
    </row>
    <row r="4">
      <c r="A4" s="17" t="inlineStr">
        <is>
          <t>GDPR</t>
        </is>
      </c>
      <c r="B4" s="17" t="inlineStr">
        <is>
          <t>Data export / SAR</t>
        </is>
      </c>
      <c r="C4" s="34" t="inlineStr">
        <is>
          <t>Yes</t>
        </is>
      </c>
      <c r="D4" s="19" t="inlineStr">
        <is>
          <t>MVP EPIC A</t>
        </is>
      </c>
    </row>
    <row r="5">
      <c r="A5" s="17" t="inlineStr">
        <is>
          <t>GDPR</t>
        </is>
      </c>
      <c r="B5" s="17" t="inlineStr">
        <is>
          <t>Right to erasure + retention</t>
        </is>
      </c>
      <c r="C5" s="34" t="inlineStr">
        <is>
          <t>Yes</t>
        </is>
      </c>
      <c r="D5" s="19" t="inlineStr">
        <is>
          <t>MVP EPIC A</t>
        </is>
      </c>
    </row>
    <row r="6">
      <c r="A6" s="17" t="inlineStr">
        <is>
          <t>GDPR</t>
        </is>
      </c>
      <c r="B6" s="17" t="inlineStr">
        <is>
          <t>Consent + Terms/Privacy</t>
        </is>
      </c>
      <c r="C6" s="34" t="inlineStr">
        <is>
          <t>Yes</t>
        </is>
      </c>
      <c r="D6" s="19" t="inlineStr">
        <is>
          <t>MVP EPIC A</t>
        </is>
      </c>
    </row>
    <row r="7">
      <c r="A7" s="17" t="inlineStr">
        <is>
          <t>GDPR</t>
        </is>
      </c>
      <c r="B7" s="17" t="inlineStr">
        <is>
          <t>PII scrubbing logs/audits</t>
        </is>
      </c>
      <c r="C7" s="34" t="inlineStr">
        <is>
          <t>Yes</t>
        </is>
      </c>
      <c r="D7" s="19" t="inlineStr">
        <is>
          <t>MVP EPIC A</t>
        </is>
      </c>
    </row>
    <row r="8">
      <c r="A8" s="17" t="inlineStr">
        <is>
          <t>Discovery</t>
        </is>
      </c>
      <c r="B8" s="17" t="inlineStr">
        <is>
          <t>Search &amp; filter</t>
        </is>
      </c>
      <c r="C8" s="34" t="inlineStr">
        <is>
          <t>Yes</t>
        </is>
      </c>
      <c r="D8" s="19" t="inlineStr">
        <is>
          <t>MVP EPIC I</t>
        </is>
      </c>
    </row>
    <row r="9">
      <c r="A9" s="17" t="inlineStr">
        <is>
          <t>UX</t>
        </is>
      </c>
      <c r="B9" s="17" t="inlineStr">
        <is>
          <t>Empty/error/loading states</t>
        </is>
      </c>
      <c r="C9" s="34" t="inlineStr">
        <is>
          <t>Yes</t>
        </is>
      </c>
      <c r="D9" s="19" t="inlineStr">
        <is>
          <t>MVP EPIC I</t>
        </is>
      </c>
    </row>
    <row r="10">
      <c r="A10" s="17" t="inlineStr">
        <is>
          <t>UX</t>
        </is>
      </c>
      <c r="B10" s="17" t="inlineStr">
        <is>
          <t>Onboarding / first-run</t>
        </is>
      </c>
      <c r="C10" s="34" t="inlineStr">
        <is>
          <t>Yes</t>
        </is>
      </c>
      <c r="D10" s="19" t="inlineStr">
        <is>
          <t>MVP EPIC I</t>
        </is>
      </c>
    </row>
    <row r="11">
      <c r="A11" s="17" t="inlineStr">
        <is>
          <t>UX</t>
        </is>
      </c>
      <c r="B11" s="17" t="inlineStr">
        <is>
          <t>Offline handling</t>
        </is>
      </c>
      <c r="C11" s="34" t="inlineStr">
        <is>
          <t>Yes</t>
        </is>
      </c>
      <c r="D11" s="19" t="inlineStr">
        <is>
          <t>MVP EPIC I</t>
        </is>
      </c>
    </row>
    <row r="12">
      <c r="A12" s="17" t="inlineStr">
        <is>
          <t>UX</t>
        </is>
      </c>
      <c r="B12" s="17" t="inlineStr">
        <is>
          <t>Pagination</t>
        </is>
      </c>
      <c r="C12" s="34" t="inlineStr">
        <is>
          <t>Yes</t>
        </is>
      </c>
      <c r="D12" s="19" t="inlineStr">
        <is>
          <t>MVP EPIC I</t>
        </is>
      </c>
    </row>
    <row r="13">
      <c r="A13" s="17" t="inlineStr">
        <is>
          <t>Notifications</t>
        </is>
      </c>
      <c r="B13" s="17" t="inlineStr">
        <is>
          <t>Preferences / opt-out</t>
        </is>
      </c>
      <c r="C13" s="34" t="inlineStr">
        <is>
          <t>Yes</t>
        </is>
      </c>
      <c r="D13" s="19" t="inlineStr">
        <is>
          <t>MVP EPIC I</t>
        </is>
      </c>
    </row>
    <row r="14">
      <c r="A14" s="17" t="inlineStr">
        <is>
          <t>Platform</t>
        </is>
      </c>
      <c r="B14" s="17" t="inlineStr">
        <is>
          <t>i18n / timezone</t>
        </is>
      </c>
      <c r="C14" s="34" t="inlineStr">
        <is>
          <t>Yes</t>
        </is>
      </c>
      <c r="D14" s="19" t="inlineStr">
        <is>
          <t>MVP EPIC I</t>
        </is>
      </c>
    </row>
    <row r="15">
      <c r="A15" s="17" t="inlineStr">
        <is>
          <t>Platform</t>
        </is>
      </c>
      <c r="B15" s="17" t="inlineStr">
        <is>
          <t>Force-update / version gate</t>
        </is>
      </c>
      <c r="C15" s="34" t="inlineStr">
        <is>
          <t>Yes</t>
        </is>
      </c>
      <c r="D15" s="19" t="inlineStr">
        <is>
          <t>MVP EPIC I</t>
        </is>
      </c>
    </row>
    <row r="16">
      <c r="A16" s="17" t="inlineStr">
        <is>
          <t>Platform</t>
        </is>
      </c>
      <c r="B16" s="17" t="inlineStr">
        <is>
          <t>Accessibility (a11y)</t>
        </is>
      </c>
      <c r="C16" s="34" t="inlineStr">
        <is>
          <t>Yes</t>
        </is>
      </c>
      <c r="D16" s="19" t="inlineStr">
        <is>
          <t>MVP EPIC I</t>
        </is>
      </c>
    </row>
    <row r="17">
      <c r="A17" s="17" t="inlineStr">
        <is>
          <t>Platform</t>
        </is>
      </c>
      <c r="B17" s="17" t="inlineStr">
        <is>
          <t>Analytics / event tracking</t>
        </is>
      </c>
      <c r="C17" s="34" t="inlineStr">
        <is>
          <t>Yes</t>
        </is>
      </c>
      <c r="D17" s="19" t="inlineStr">
        <is>
          <t>MVP EPIC I</t>
        </is>
      </c>
    </row>
    <row r="18">
      <c r="A18" s="17" t="inlineStr">
        <is>
          <t>Security</t>
        </is>
      </c>
      <c r="B18" s="17" t="inlineStr">
        <is>
          <t>Rate limiting</t>
        </is>
      </c>
      <c r="C18" s="34" t="inlineStr">
        <is>
          <t>Yes</t>
        </is>
      </c>
      <c r="D18" s="19" t="inlineStr">
        <is>
          <t>MVP EPIC A</t>
        </is>
      </c>
    </row>
    <row r="19">
      <c r="A19" s="17" t="inlineStr">
        <is>
          <t>Security</t>
        </is>
      </c>
      <c r="B19" s="17" t="inlineStr">
        <is>
          <t>Session expiry / re-auth</t>
        </is>
      </c>
      <c r="C19" s="34" t="inlineStr">
        <is>
          <t>Yes</t>
        </is>
      </c>
      <c r="D19" s="19" t="inlineStr">
        <is>
          <t>MVP EPIC A</t>
        </is>
      </c>
    </row>
    <row r="20">
      <c r="A20" s="17" t="inlineStr">
        <is>
          <t>Security</t>
        </is>
      </c>
      <c r="B20" s="17" t="inlineStr">
        <is>
          <t>AV scan of uploads</t>
        </is>
      </c>
      <c r="C20" s="34" t="inlineStr">
        <is>
          <t>Yes (P2)</t>
        </is>
      </c>
      <c r="D20" s="19" t="inlineStr">
        <is>
          <t>Phase 2 P2-A (was flagged out of MVP)</t>
        </is>
      </c>
    </row>
    <row r="21">
      <c r="A21" s="17" t="inlineStr">
        <is>
          <t>Ops</t>
        </is>
      </c>
      <c r="B21" s="17" t="inlineStr">
        <is>
          <t>Audit log / activity history</t>
        </is>
      </c>
      <c r="C21" s="35" t="inlineStr">
        <is>
          <t>Partly</t>
        </is>
      </c>
      <c r="D21" s="19" t="inlineStr">
        <is>
          <t>owen-it exists (reuse); admin view TBC</t>
        </is>
      </c>
    </row>
    <row r="22">
      <c r="A22" s="17" t="inlineStr">
        <is>
          <t>Ops</t>
        </is>
      </c>
      <c r="B22" s="17" t="inlineStr">
        <is>
          <t>Admin impersonation / support</t>
        </is>
      </c>
      <c r="C22" s="34" t="inlineStr">
        <is>
          <t>Yes (P2)</t>
        </is>
      </c>
      <c r="D22" s="19" t="inlineStr">
        <is>
          <t>Phase 2 P2-A</t>
        </is>
      </c>
    </row>
    <row r="23">
      <c r="A23" s="17" t="inlineStr">
        <is>
          <t>Ops</t>
        </is>
      </c>
      <c r="B23" s="17" t="inlineStr">
        <is>
          <t>Maintenance mode</t>
        </is>
      </c>
      <c r="C23" s="34" t="inlineStr">
        <is>
          <t>Yes (P2)</t>
        </is>
      </c>
      <c r="D23" s="19" t="inlineStr">
        <is>
          <t>Phase 2 P2-A</t>
        </is>
      </c>
    </row>
    <row r="24">
      <c r="A24" s="17" t="inlineStr">
        <is>
          <t>Ops</t>
        </is>
      </c>
      <c r="B24" s="17" t="inlineStr">
        <is>
          <t>Demo/seed data</t>
        </is>
      </c>
      <c r="C24" s="34" t="inlineStr">
        <is>
          <t>Yes (P2)</t>
        </is>
      </c>
      <c r="D24" s="19" t="inlineStr">
        <is>
          <t>Phase 2 P2-A</t>
        </is>
      </c>
    </row>
    <row r="25">
      <c r="A25" s="17" t="inlineStr">
        <is>
          <t>Payments</t>
        </is>
      </c>
      <c r="B25" s="17" t="inlineStr">
        <is>
          <t>Refund / credit note</t>
        </is>
      </c>
      <c r="C25" s="34" t="inlineStr">
        <is>
          <t>Yes (P2)</t>
        </is>
      </c>
      <c r="D25" s="19" t="inlineStr">
        <is>
          <t>Phase 2 P2-B</t>
        </is>
      </c>
    </row>
    <row r="26">
      <c r="A26" s="17" t="inlineStr">
        <is>
          <t>Payments</t>
        </is>
      </c>
      <c r="B26" s="17" t="inlineStr">
        <is>
          <t>Multi-currency</t>
        </is>
      </c>
      <c r="C26" s="34" t="inlineStr">
        <is>
          <t>Yes (P2)</t>
        </is>
      </c>
      <c r="D26" s="19" t="inlineStr">
        <is>
          <t>Phase 2 P2-B</t>
        </is>
      </c>
    </row>
    <row r="27">
      <c r="A27" s="17" t="inlineStr">
        <is>
          <t>Payroll</t>
        </is>
      </c>
      <c r="B27" s="17" t="inlineStr">
        <is>
          <t>In-house PAYE / RTI</t>
        </is>
      </c>
      <c r="C27" s="34" t="inlineStr">
        <is>
          <t>Yes (P2)</t>
        </is>
      </c>
      <c r="D27" s="19" t="inlineStr">
        <is>
          <t>Phase 2 P2-B</t>
        </is>
      </c>
    </row>
    <row r="28">
      <c r="A28" s="17" t="inlineStr">
        <is>
          <t>Compliance</t>
        </is>
      </c>
      <c r="B28" s="17" t="inlineStr">
        <is>
          <t>Full DBS Update Service</t>
        </is>
      </c>
      <c r="C28" s="34" t="inlineStr">
        <is>
          <t>Yes (P2)</t>
        </is>
      </c>
      <c r="D28" s="19" t="inlineStr">
        <is>
          <t>Phase 2 P2-D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92" customWidth="1" min="2" max="2"/>
    <col width="12" customWidth="1" min="3" max="3"/>
  </cols>
  <sheetData>
    <row r="1">
      <c r="A1" s="7" t="inlineStr">
        <is>
          <t>SELF-REVIEW CHECKLIST - before submitting</t>
        </is>
      </c>
    </row>
    <row r="2">
      <c r="A2" s="16" t="inlineStr">
        <is>
          <t>Done?</t>
        </is>
      </c>
      <c r="B2" s="16" t="inlineStr">
        <is>
          <t>Check</t>
        </is>
      </c>
      <c r="C2" s="16" t="inlineStr">
        <is>
          <t>Owner</t>
        </is>
      </c>
    </row>
    <row r="3">
      <c r="A3" s="36" t="inlineStr">
        <is>
          <t>[ ]</t>
        </is>
      </c>
      <c r="B3" s="19" t="inlineStr">
        <is>
          <t>Every row has Phase (MVP/Phase 2), EPIC-&gt;Feature-&gt;Sub-Feature-&gt;Function, a Task Type and non-zero estimate.</t>
        </is>
      </c>
      <c r="C3" s="17" t="n"/>
    </row>
    <row r="4">
      <c r="A4" s="36" t="inlineStr">
        <is>
          <t>[ ]</t>
        </is>
      </c>
      <c r="B4" s="19" t="inlineStr">
        <is>
          <t>Delivery Efficiency factor (0.70) is a CONSCIOUS client-directed cut; risk acknowledged; sensitivity at 0.85 reviewed.</t>
        </is>
      </c>
      <c r="C4" s="17" t="n"/>
    </row>
    <row r="5">
      <c r="A5" s="36" t="inlineStr">
        <is>
          <t>[ ]</t>
        </is>
      </c>
      <c r="B5" s="19" t="inlineStr">
        <is>
          <t>AI reduction only via 'AI Factors'; efficiency factor applied once, globally (not double-counted).</t>
        </is>
      </c>
      <c r="C5" s="17" t="n"/>
    </row>
    <row r="6">
      <c r="A6" s="36" t="inlineStr">
        <is>
          <t>[ ]</t>
        </is>
      </c>
      <c r="B6" s="19" t="inlineStr">
        <is>
          <t>Effort ratio 10/10/50/30 sums to 100%; Testing only in ratio (not separate coding rows).</t>
        </is>
      </c>
      <c r="C6" s="17" t="n"/>
    </row>
    <row r="7">
      <c r="A7" s="36" t="inlineStr">
        <is>
          <t>[ ]</t>
        </is>
      </c>
      <c r="B7" s="19" t="inlineStr">
        <is>
          <t>MVP timeline 1.5-2 months requires a larger concurrent team - staffing confirmed feasible.</t>
        </is>
      </c>
      <c r="C7" s="17" t="n"/>
    </row>
    <row r="8">
      <c r="A8" s="36" t="inlineStr">
        <is>
          <t>[ ]</t>
        </is>
      </c>
      <c r="B8" s="19" t="inlineStr">
        <is>
          <t>Correctness-critical items (payments, compliance gate, PAYE, matching) still LOW AI reduction despite the cut.</t>
        </is>
      </c>
      <c r="C8" s="17" t="n"/>
    </row>
    <row r="9">
      <c r="A9" s="36" t="inlineStr">
        <is>
          <t>[ ]</t>
        </is>
      </c>
      <c r="B9" s="19" t="inlineStr">
        <is>
          <t>Missing-Features checklist reviewed; MVP vs Phase 2 placement agreed.</t>
        </is>
      </c>
      <c r="C9" s="17" t="n"/>
    </row>
    <row r="10">
      <c r="A10" s="36" t="inlineStr">
        <is>
          <t>[ ]</t>
        </is>
      </c>
      <c r="B10" s="19" t="inlineStr">
        <is>
          <t>GDPR must-haves in MVP; scale/PAYE/refunds/full-DBS in Phase 2.</t>
        </is>
      </c>
      <c r="C10" s="17" t="n"/>
    </row>
    <row r="11">
      <c r="A11" s="36" t="inlineStr">
        <is>
          <t>[ ]</t>
        </is>
      </c>
      <c r="B11" s="19" t="inlineStr">
        <is>
          <t>Rates sheet is single source of truth; no hard-coded costs; currency confirmed (USD vs GBP).</t>
        </is>
      </c>
      <c r="C11" s="17" t="n"/>
    </row>
    <row r="12">
      <c r="A12" s="36" t="inlineStr">
        <is>
          <t>[ ]</t>
        </is>
      </c>
      <c r="B12" s="19" t="inlineStr">
        <is>
          <t>Critical path respected: idempotency + timesheet before billing rewire; compliance model before gate.</t>
        </is>
      </c>
      <c r="C12" s="17" t="n"/>
    </row>
    <row r="13">
      <c r="A13" s="36" t="inlineStr">
        <is>
          <t>[ ]</t>
        </is>
      </c>
      <c r="B13" s="19" t="inlineStr">
        <is>
          <t>Phase 2 total is indicative (roadmap) - to be re-confirmed nearer the time.</t>
        </is>
      </c>
      <c r="C13" s="17" t="n"/>
    </row>
    <row r="14">
      <c r="A14" s="36" t="inlineStr">
        <is>
          <t>[ ]</t>
        </is>
      </c>
      <c r="B14" s="19" t="inlineStr">
        <is>
          <t>Grand totals reconcile with the compressed target; contingency reflects brownfield + external-dependency risk.</t>
        </is>
      </c>
      <c r="C14" s="17" t="n"/>
    </row>
    <row r="15">
      <c r="A15" s="36" t="inlineStr">
        <is>
          <t>[ ]</t>
        </is>
      </c>
      <c r="B15" s="19" t="inlineStr">
        <is>
          <t>Discipline split staffable (enough Flutter/Mobile capacity for the compressed schedule).</t>
        </is>
      </c>
      <c r="C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2026-07-08T10:22:35Z</dcterms:created>
  <dcterms:modified xmlns:dcterms="http://purl.org/dc/terms/" xmlns:xsi="http://www.w3.org/2001/XMLSchema-instance" xsi:type="dcterms:W3CDTF">2026-07-08T10:22:35Z</dcterms:modified>
</cp:coreProperties>
</file>